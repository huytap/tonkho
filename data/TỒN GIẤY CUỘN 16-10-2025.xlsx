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yhfk7-my.sharepoint.com/personal/kt1_inan_com_vn/Documents/LƯỢNG/KT KHO/THEO DÕI KHO GIẤY T10/"/>
    </mc:Choice>
  </mc:AlternateContent>
  <xr:revisionPtr revIDLastSave="0" documentId="13_ncr:1_{439042F9-4AA7-4139-B81D-35B1F8398666}" xr6:coauthVersionLast="47" xr6:coauthVersionMax="47" xr10:uidLastSave="{00000000-0000-0000-0000-000000000000}"/>
  <bookViews>
    <workbookView xWindow="-108" yWindow="-108" windowWidth="23256" windowHeight="12456" activeTab="1" xr2:uid="{B227B01C-8312-4F27-8755-93686F1D4A66}"/>
  </bookViews>
  <sheets>
    <sheet name="ĐẠI ĐĂNG" sheetId="10" r:id="rId1"/>
    <sheet name="VISIP 2" sheetId="1" r:id="rId2"/>
  </sheets>
  <externalReferences>
    <externalReference r:id="rId3"/>
    <externalReference r:id="rId4"/>
    <externalReference r:id="rId5"/>
    <externalReference r:id="rId6"/>
  </externalReferences>
  <definedNames>
    <definedName name="_AMO_ContentLocation_757907854__A1" hidden="1">"'Partitions:2'"</definedName>
    <definedName name="_AMO_ContentLocation_757907854__A1.0" hidden="1">"'&lt;ContentLocation path=""A1"" rsid=""757907854"" tag="""" fid=""0""&gt;_x000D_
  &lt;param n=""_NumRows"" v=""65536"" /&gt;_x000D_
  &lt;param n=""_NumCols"" v=""54"" /&gt;_x000D_
  &lt;param n=""SASDataState"" v=""top"" /&gt;_x000D_
  &lt;param n=""SASDataStart"" v=""1"" /&gt;_x000D_
  &lt;param n=""SASData'"</definedName>
    <definedName name="_AMO_ContentLocation_757907854__A1.1" hidden="1">"'End"" v=""65535"" /&gt;_x000D_
  &lt;param n=""SASFilter"" v=""YYMM &amp;gt; '201803'"" /&gt;_x000D_
  &lt;param n=""MoreSheetsForRows"" v=""True"" /&gt;_x000D_
&lt;/ContentLocation&gt;'"</definedName>
    <definedName name="_AMO_ContentLocation_757907854__A2" hidden="1">"'Partitions:2'"</definedName>
    <definedName name="_AMO_ContentLocation_757907854__A2.0" hidden="1">"'&lt;ContentLocation path=""A2"" rsid=""757907854"" tag="""" fid=""0""&gt;_x000D_
  &lt;param n=""_NumRows"" v=""65536"" /&gt;_x000D_
  &lt;param n=""_NumCols"" v=""54"" /&gt;_x000D_
  &lt;param n=""SASDataState"" v=""middle"" /&gt;_x000D_
  &lt;param n=""SASDataStart"" v=""65536"" /&gt;_x000D_
  &lt;param n=""'"</definedName>
    <definedName name="_AMO_ContentLocation_757907854__A2.1" hidden="1">"'SASDataEnd"" v=""131070"" /&gt;_x000D_
  &lt;param n=""SASFilter"" v=""YYMM &amp;gt; '201803'"" /&gt;_x000D_
  &lt;param n=""MoreSheetsForRows"" v=""True"" /&gt;_x000D_
&lt;/ContentLocation&gt;'"</definedName>
    <definedName name="_AMO_RefreshMultipleList" hidden="1">"'&lt;Items&gt;_x000D_
  &lt;Item Id=""676541623"" Checked=""True"" /&gt;_x000D_
&lt;/Items&gt;'"</definedName>
    <definedName name="_AMO_SingleObject_757907854__A1" hidden="1">#REF!</definedName>
    <definedName name="_AMO_SingleObject_757907854__A2" hidden="1">#REF!</definedName>
    <definedName name="_AMO_SingleObject_757907854__A3" hidden="1">#REF!</definedName>
    <definedName name="_AMO_SingleObject_792752432__A1" hidden="1">#REF!</definedName>
    <definedName name="_AMO_XmlVersion" hidden="1">"'1'"</definedName>
    <definedName name="_xlnm._FilterDatabase" localSheetId="0" hidden="1">'ĐẠI ĐĂNG'!$A$3:$CH$721</definedName>
    <definedName name="_xlnm._FilterDatabase" localSheetId="1" hidden="1">'VISIP 2'!$A$3:$CH$741</definedName>
    <definedName name="A">'[1]0002(2)'!#REF!</definedName>
    <definedName name="C_">'[1]0002(2)'!#REF!</definedName>
    <definedName name="kari">#REF!</definedName>
    <definedName name="KS">'[1]0002(2)'!#REF!</definedName>
    <definedName name="npy" hidden="1">"'6e2b63b1-29e7-445a-b84f-2a8bbcc1e747'"</definedName>
    <definedName name="_xlnm.Print_Area" localSheetId="1">'VISIP 2'!#REF!</definedName>
    <definedName name="saimoku">#REF!</definedName>
    <definedName name="SASMain_AA_L102_AAF_AF0100D">#REF!</definedName>
    <definedName name="SASMain_AA_L102_AAF_AF0100R">#REF!</definedName>
    <definedName name="SASMain_AA_L108_AAG_AG0400D_2">#REF!</definedName>
    <definedName name="SASMain_AA_L109_AAJ_AJBF040T">[2]元!$A$1:$AD$1335</definedName>
    <definedName name="SASMain_AA_L109_AAJ_AJBF430R">#REF!</definedName>
    <definedName name="SASMain_PA_L001_PAH_SHZYJ_AA">#REF!</definedName>
    <definedName name="SASMain_PA_L001_PAH_SMYJ_AA">#REF!</definedName>
    <definedName name="TUBORYOU">#REF!</definedName>
    <definedName name="ああ">[3]実績1!#REF!</definedName>
    <definedName name="あああ">'[1]0002(2)'!#REF!</definedName>
    <definedName name="あらま">[3]実績1!#REF!</definedName>
    <definedName name="いいい">[3]実績1!#REF!</definedName>
    <definedName name="ううう">[3]実績1!#REF!</definedName>
    <definedName name="か">'[1]0002(2)'!#REF!</definedName>
    <definedName name="さ" hidden="1">#REF!</definedName>
    <definedName name="で" hidden="1">#REF!</definedName>
    <definedName name="ななな">[3]実績1!#REF!</definedName>
    <definedName name="ピポット">'[4]0205銘柄分類'!$A$1:$C$115</definedName>
    <definedName name="ふぇ">#REF!</definedName>
    <definedName name="予算">#REF!</definedName>
    <definedName name="予算R">#REF!</definedName>
    <definedName name="予算フル売価">#REF!</definedName>
    <definedName name="事業利益">#REF!</definedName>
    <definedName name="塗料コード">#REF!</definedName>
    <definedName name="売価">#REF!</definedName>
    <definedName name="小巻銘柄２">#REF!</definedName>
    <definedName name="用途">#REF!</definedName>
    <definedName name="経常利益">#REF!</definedName>
    <definedName name="計">#REF!</definedName>
    <definedName name="購入実績1">[3]実績1!#REF!</definedName>
    <definedName name="銘柄">#REF!</definedName>
    <definedName name="銘柄ﾃｰﾌﾞﾙ">#REF!</definedName>
    <definedName name="銘柄変換１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" i="1" l="1"/>
  <c r="U741" i="1"/>
  <c r="U740" i="1"/>
  <c r="J740" i="1" s="1"/>
  <c r="K740" i="1" s="1"/>
  <c r="U739" i="1"/>
  <c r="J739" i="1" s="1"/>
  <c r="K739" i="1" s="1"/>
  <c r="U738" i="1"/>
  <c r="U737" i="1"/>
  <c r="U736" i="1"/>
  <c r="J736" i="1" s="1"/>
  <c r="K736" i="1" s="1"/>
  <c r="U735" i="1"/>
  <c r="J735" i="1" s="1"/>
  <c r="K735" i="1" s="1"/>
  <c r="U734" i="1"/>
  <c r="U733" i="1"/>
  <c r="U732" i="1"/>
  <c r="J732" i="1" s="1"/>
  <c r="K732" i="1" s="1"/>
  <c r="U731" i="1"/>
  <c r="J731" i="1" s="1"/>
  <c r="K731" i="1" s="1"/>
  <c r="U730" i="1"/>
  <c r="U729" i="1"/>
  <c r="U728" i="1"/>
  <c r="J728" i="1" s="1"/>
  <c r="K728" i="1" s="1"/>
  <c r="U727" i="1"/>
  <c r="J727" i="1" s="1"/>
  <c r="K727" i="1" s="1"/>
  <c r="U726" i="1"/>
  <c r="U725" i="1"/>
  <c r="U724" i="1"/>
  <c r="J724" i="1" s="1"/>
  <c r="K724" i="1" s="1"/>
  <c r="U723" i="1"/>
  <c r="J723" i="1" s="1"/>
  <c r="K723" i="1" s="1"/>
  <c r="U722" i="1"/>
  <c r="U721" i="1"/>
  <c r="J721" i="1" s="1"/>
  <c r="K721" i="1" s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J741" i="1"/>
  <c r="K741" i="1" s="1"/>
  <c r="J738" i="1"/>
  <c r="K738" i="1" s="1"/>
  <c r="J737" i="1"/>
  <c r="K737" i="1" s="1"/>
  <c r="J734" i="1"/>
  <c r="K734" i="1" s="1"/>
  <c r="J733" i="1"/>
  <c r="K733" i="1" s="1"/>
  <c r="J730" i="1"/>
  <c r="K730" i="1" s="1"/>
  <c r="J729" i="1"/>
  <c r="K729" i="1" s="1"/>
  <c r="J726" i="1"/>
  <c r="K726" i="1" s="1"/>
  <c r="J725" i="1"/>
  <c r="K725" i="1" s="1"/>
  <c r="J722" i="1"/>
  <c r="K722" i="1" s="1"/>
  <c r="U720" i="1"/>
  <c r="U719" i="1"/>
  <c r="U718" i="1"/>
  <c r="J718" i="1" s="1"/>
  <c r="K718" i="1" s="1"/>
  <c r="U717" i="1"/>
  <c r="J717" i="1" s="1"/>
  <c r="K717" i="1" s="1"/>
  <c r="U716" i="1"/>
  <c r="J716" i="1" s="1"/>
  <c r="K716" i="1" s="1"/>
  <c r="U715" i="1"/>
  <c r="M720" i="1"/>
  <c r="M719" i="1"/>
  <c r="M718" i="1"/>
  <c r="M717" i="1"/>
  <c r="M716" i="1"/>
  <c r="M715" i="1"/>
  <c r="J720" i="1"/>
  <c r="K720" i="1" s="1"/>
  <c r="J719" i="1"/>
  <c r="K719" i="1" s="1"/>
  <c r="J715" i="1"/>
  <c r="K715" i="1" s="1"/>
  <c r="U714" i="1"/>
  <c r="U713" i="1"/>
  <c r="U712" i="1"/>
  <c r="J712" i="1" s="1"/>
  <c r="K712" i="1" s="1"/>
  <c r="U711" i="1"/>
  <c r="J711" i="1" s="1"/>
  <c r="K711" i="1" s="1"/>
  <c r="U710" i="1"/>
  <c r="U709" i="1"/>
  <c r="U708" i="1"/>
  <c r="J708" i="1" s="1"/>
  <c r="K708" i="1" s="1"/>
  <c r="U707" i="1"/>
  <c r="J707" i="1" s="1"/>
  <c r="K707" i="1" s="1"/>
  <c r="U706" i="1"/>
  <c r="U705" i="1"/>
  <c r="U704" i="1"/>
  <c r="J704" i="1" s="1"/>
  <c r="K704" i="1" s="1"/>
  <c r="M714" i="1"/>
  <c r="M713" i="1"/>
  <c r="M712" i="1"/>
  <c r="M711" i="1"/>
  <c r="M710" i="1"/>
  <c r="M709" i="1"/>
  <c r="M708" i="1"/>
  <c r="M707" i="1"/>
  <c r="M706" i="1"/>
  <c r="M705" i="1"/>
  <c r="M704" i="1"/>
  <c r="J714" i="1"/>
  <c r="K714" i="1" s="1"/>
  <c r="J713" i="1"/>
  <c r="K713" i="1" s="1"/>
  <c r="J710" i="1"/>
  <c r="K710" i="1" s="1"/>
  <c r="J709" i="1"/>
  <c r="K709" i="1" s="1"/>
  <c r="J706" i="1"/>
  <c r="K706" i="1" s="1"/>
  <c r="J705" i="1"/>
  <c r="K705" i="1" s="1"/>
  <c r="U703" i="1"/>
  <c r="U702" i="1"/>
  <c r="J702" i="1" s="1"/>
  <c r="K702" i="1" s="1"/>
  <c r="U701" i="1"/>
  <c r="J701" i="1" s="1"/>
  <c r="K701" i="1" s="1"/>
  <c r="U700" i="1"/>
  <c r="J700" i="1" s="1"/>
  <c r="K700" i="1" s="1"/>
  <c r="U699" i="1"/>
  <c r="U698" i="1"/>
  <c r="J698" i="1" s="1"/>
  <c r="K698" i="1" s="1"/>
  <c r="U697" i="1"/>
  <c r="J697" i="1" s="1"/>
  <c r="K697" i="1" s="1"/>
  <c r="U696" i="1"/>
  <c r="J696" i="1" s="1"/>
  <c r="K696" i="1" s="1"/>
  <c r="U695" i="1"/>
  <c r="U694" i="1"/>
  <c r="U693" i="1"/>
  <c r="J693" i="1" s="1"/>
  <c r="K693" i="1" s="1"/>
  <c r="U692" i="1"/>
  <c r="J692" i="1" s="1"/>
  <c r="K692" i="1" s="1"/>
  <c r="U691" i="1"/>
  <c r="U690" i="1"/>
  <c r="J690" i="1" s="1"/>
  <c r="K690" i="1" s="1"/>
  <c r="U689" i="1"/>
  <c r="J689" i="1" s="1"/>
  <c r="K689" i="1" s="1"/>
  <c r="U688" i="1"/>
  <c r="J688" i="1" s="1"/>
  <c r="K688" i="1" s="1"/>
  <c r="U687" i="1"/>
  <c r="U686" i="1"/>
  <c r="J686" i="1" s="1"/>
  <c r="K686" i="1" s="1"/>
  <c r="U685" i="1"/>
  <c r="J685" i="1" s="1"/>
  <c r="K685" i="1" s="1"/>
  <c r="U684" i="1"/>
  <c r="J684" i="1" s="1"/>
  <c r="K684" i="1" s="1"/>
  <c r="U683" i="1"/>
  <c r="U682" i="1"/>
  <c r="J682" i="1" s="1"/>
  <c r="K682" i="1" s="1"/>
  <c r="U681" i="1"/>
  <c r="J681" i="1" s="1"/>
  <c r="K681" i="1" s="1"/>
  <c r="U680" i="1"/>
  <c r="J680" i="1" s="1"/>
  <c r="K680" i="1" s="1"/>
  <c r="U679" i="1"/>
  <c r="U678" i="1"/>
  <c r="U677" i="1"/>
  <c r="J677" i="1" s="1"/>
  <c r="K677" i="1" s="1"/>
  <c r="U676" i="1"/>
  <c r="J676" i="1" s="1"/>
  <c r="K676" i="1" s="1"/>
  <c r="U675" i="1"/>
  <c r="U674" i="1"/>
  <c r="J674" i="1" s="1"/>
  <c r="K674" i="1" s="1"/>
  <c r="U673" i="1"/>
  <c r="J673" i="1" s="1"/>
  <c r="K673" i="1" s="1"/>
  <c r="U672" i="1"/>
  <c r="J672" i="1" s="1"/>
  <c r="K672" i="1" s="1"/>
  <c r="U671" i="1"/>
  <c r="U670" i="1"/>
  <c r="J670" i="1" s="1"/>
  <c r="K670" i="1" s="1"/>
  <c r="U669" i="1"/>
  <c r="J669" i="1" s="1"/>
  <c r="K669" i="1" s="1"/>
  <c r="U668" i="1"/>
  <c r="J668" i="1" s="1"/>
  <c r="K668" i="1" s="1"/>
  <c r="U667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J703" i="1"/>
  <c r="K703" i="1" s="1"/>
  <c r="J699" i="1"/>
  <c r="K699" i="1" s="1"/>
  <c r="J695" i="1"/>
  <c r="K695" i="1" s="1"/>
  <c r="J694" i="1"/>
  <c r="K694" i="1" s="1"/>
  <c r="J691" i="1"/>
  <c r="K691" i="1" s="1"/>
  <c r="J687" i="1"/>
  <c r="K687" i="1" s="1"/>
  <c r="J683" i="1"/>
  <c r="K683" i="1" s="1"/>
  <c r="J679" i="1"/>
  <c r="K679" i="1" s="1"/>
  <c r="J678" i="1"/>
  <c r="K678" i="1" s="1"/>
  <c r="J675" i="1"/>
  <c r="K675" i="1" s="1"/>
  <c r="J671" i="1"/>
  <c r="K671" i="1" s="1"/>
  <c r="U666" i="1"/>
  <c r="J666" i="1" s="1"/>
  <c r="K666" i="1" s="1"/>
  <c r="U665" i="1"/>
  <c r="J665" i="1" s="1"/>
  <c r="K665" i="1" s="1"/>
  <c r="U664" i="1"/>
  <c r="J664" i="1" s="1"/>
  <c r="K664" i="1" s="1"/>
  <c r="U663" i="1"/>
  <c r="J663" i="1" s="1"/>
  <c r="K663" i="1" s="1"/>
  <c r="U662" i="1"/>
  <c r="J662" i="1" s="1"/>
  <c r="K662" i="1" s="1"/>
  <c r="U661" i="1"/>
  <c r="J661" i="1" s="1"/>
  <c r="K661" i="1" s="1"/>
  <c r="U660" i="1"/>
  <c r="U659" i="1"/>
  <c r="J659" i="1" s="1"/>
  <c r="K659" i="1" s="1"/>
  <c r="U658" i="1"/>
  <c r="J658" i="1" s="1"/>
  <c r="K658" i="1" s="1"/>
  <c r="U657" i="1"/>
  <c r="J657" i="1" s="1"/>
  <c r="K657" i="1" s="1"/>
  <c r="U656" i="1"/>
  <c r="U655" i="1"/>
  <c r="J655" i="1" s="1"/>
  <c r="K655" i="1" s="1"/>
  <c r="U654" i="1"/>
  <c r="J654" i="1" s="1"/>
  <c r="K654" i="1" s="1"/>
  <c r="U653" i="1"/>
  <c r="J653" i="1" s="1"/>
  <c r="K653" i="1" s="1"/>
  <c r="U652" i="1"/>
  <c r="J652" i="1" s="1"/>
  <c r="K652" i="1" s="1"/>
  <c r="U651" i="1"/>
  <c r="J651" i="1" s="1"/>
  <c r="K651" i="1" s="1"/>
  <c r="U650" i="1"/>
  <c r="J650" i="1" s="1"/>
  <c r="K650" i="1" s="1"/>
  <c r="U649" i="1"/>
  <c r="J649" i="1" s="1"/>
  <c r="K649" i="1" s="1"/>
  <c r="U648" i="1"/>
  <c r="J648" i="1" s="1"/>
  <c r="K648" i="1" s="1"/>
  <c r="U647" i="1"/>
  <c r="J647" i="1" s="1"/>
  <c r="K647" i="1" s="1"/>
  <c r="U646" i="1"/>
  <c r="J646" i="1" s="1"/>
  <c r="K646" i="1" s="1"/>
  <c r="U645" i="1"/>
  <c r="J645" i="1" s="1"/>
  <c r="K645" i="1" s="1"/>
  <c r="U644" i="1"/>
  <c r="J644" i="1" s="1"/>
  <c r="K644" i="1" s="1"/>
  <c r="U643" i="1"/>
  <c r="J643" i="1" s="1"/>
  <c r="K643" i="1" s="1"/>
  <c r="U642" i="1"/>
  <c r="J642" i="1" s="1"/>
  <c r="K642" i="1" s="1"/>
  <c r="U641" i="1"/>
  <c r="J641" i="1" s="1"/>
  <c r="K641" i="1" s="1"/>
  <c r="U640" i="1"/>
  <c r="J640" i="1" s="1"/>
  <c r="K640" i="1" s="1"/>
  <c r="U639" i="1"/>
  <c r="J639" i="1" s="1"/>
  <c r="K639" i="1" s="1"/>
  <c r="U638" i="1"/>
  <c r="J638" i="1" s="1"/>
  <c r="K638" i="1" s="1"/>
  <c r="U637" i="1"/>
  <c r="J637" i="1" s="1"/>
  <c r="K637" i="1" s="1"/>
  <c r="U636" i="1"/>
  <c r="J636" i="1" s="1"/>
  <c r="K636" i="1" s="1"/>
  <c r="U635" i="1"/>
  <c r="J635" i="1" s="1"/>
  <c r="K635" i="1" s="1"/>
  <c r="U634" i="1"/>
  <c r="J634" i="1" s="1"/>
  <c r="K634" i="1" s="1"/>
  <c r="U633" i="1"/>
  <c r="J633" i="1" s="1"/>
  <c r="K633" i="1" s="1"/>
  <c r="U632" i="1"/>
  <c r="J632" i="1" s="1"/>
  <c r="K632" i="1" s="1"/>
  <c r="U631" i="1"/>
  <c r="J631" i="1" s="1"/>
  <c r="K631" i="1" s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U630" i="1"/>
  <c r="J630" i="1" s="1"/>
  <c r="K630" i="1" s="1"/>
  <c r="U629" i="1"/>
  <c r="U628" i="1"/>
  <c r="J628" i="1" s="1"/>
  <c r="K628" i="1" s="1"/>
  <c r="U627" i="1"/>
  <c r="J627" i="1" s="1"/>
  <c r="K627" i="1" s="1"/>
  <c r="U626" i="1"/>
  <c r="J626" i="1" s="1"/>
  <c r="K626" i="1" s="1"/>
  <c r="U625" i="1"/>
  <c r="J625" i="1" s="1"/>
  <c r="K625" i="1" s="1"/>
  <c r="U624" i="1"/>
  <c r="J624" i="1" s="1"/>
  <c r="K624" i="1" s="1"/>
  <c r="U623" i="1"/>
  <c r="J623" i="1" s="1"/>
  <c r="K623" i="1" s="1"/>
  <c r="U622" i="1"/>
  <c r="J622" i="1" s="1"/>
  <c r="K622" i="1" s="1"/>
  <c r="U621" i="1"/>
  <c r="J621" i="1" s="1"/>
  <c r="K621" i="1" s="1"/>
  <c r="U620" i="1"/>
  <c r="J620" i="1" s="1"/>
  <c r="K620" i="1" s="1"/>
  <c r="U619" i="1"/>
  <c r="J619" i="1" s="1"/>
  <c r="K619" i="1" s="1"/>
  <c r="U618" i="1"/>
  <c r="U617" i="1"/>
  <c r="J617" i="1" s="1"/>
  <c r="K617" i="1" s="1"/>
  <c r="U616" i="1"/>
  <c r="J616" i="1" s="1"/>
  <c r="K616" i="1" s="1"/>
  <c r="U615" i="1"/>
  <c r="J615" i="1" s="1"/>
  <c r="K615" i="1" s="1"/>
  <c r="U614" i="1"/>
  <c r="J614" i="1" s="1"/>
  <c r="K614" i="1" s="1"/>
  <c r="U613" i="1"/>
  <c r="J613" i="1" s="1"/>
  <c r="K613" i="1" s="1"/>
  <c r="U612" i="1"/>
  <c r="J612" i="1" s="1"/>
  <c r="K612" i="1" s="1"/>
  <c r="U611" i="1"/>
  <c r="J611" i="1" s="1"/>
  <c r="K611" i="1" s="1"/>
  <c r="U610" i="1"/>
  <c r="J610" i="1" s="1"/>
  <c r="K610" i="1" s="1"/>
  <c r="U609" i="1"/>
  <c r="J609" i="1" s="1"/>
  <c r="K609" i="1" s="1"/>
  <c r="U608" i="1"/>
  <c r="J608" i="1" s="1"/>
  <c r="K608" i="1" s="1"/>
  <c r="U607" i="1"/>
  <c r="J607" i="1" s="1"/>
  <c r="K607" i="1" s="1"/>
  <c r="U606" i="1"/>
  <c r="J606" i="1" s="1"/>
  <c r="K606" i="1" s="1"/>
  <c r="U605" i="1"/>
  <c r="J605" i="1" s="1"/>
  <c r="K605" i="1" s="1"/>
  <c r="U604" i="1"/>
  <c r="J604" i="1" s="1"/>
  <c r="K604" i="1" s="1"/>
  <c r="U603" i="1"/>
  <c r="J603" i="1" s="1"/>
  <c r="K603" i="1" s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J667" i="1"/>
  <c r="K667" i="1" s="1"/>
  <c r="J629" i="1"/>
  <c r="K629" i="1" s="1"/>
  <c r="J618" i="1"/>
  <c r="K618" i="1" s="1"/>
  <c r="J660" i="1"/>
  <c r="K660" i="1" s="1"/>
  <c r="J656" i="1"/>
  <c r="K656" i="1" s="1"/>
  <c r="U590" i="1" l="1"/>
  <c r="J590" i="1" s="1"/>
  <c r="U591" i="1"/>
  <c r="J591" i="1" s="1"/>
  <c r="U592" i="1"/>
  <c r="J592" i="1" s="1"/>
  <c r="U593" i="1"/>
  <c r="J593" i="1" s="1"/>
  <c r="U594" i="1"/>
  <c r="J594" i="1" s="1"/>
  <c r="U595" i="1"/>
  <c r="J595" i="1" s="1"/>
  <c r="U596" i="1"/>
  <c r="J596" i="1" s="1"/>
  <c r="U597" i="1"/>
  <c r="J597" i="1" s="1"/>
  <c r="U598" i="1"/>
  <c r="J598" i="1" s="1"/>
  <c r="U599" i="1"/>
  <c r="J599" i="1" s="1"/>
  <c r="U600" i="1"/>
  <c r="J600" i="1" s="1"/>
  <c r="U601" i="1"/>
  <c r="J601" i="1" s="1"/>
  <c r="U602" i="1"/>
  <c r="J602" i="1" s="1"/>
  <c r="K602" i="1" s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U581" i="1"/>
  <c r="J581" i="1" s="1"/>
  <c r="U582" i="1"/>
  <c r="J582" i="1" s="1"/>
  <c r="U583" i="1"/>
  <c r="J583" i="1" s="1"/>
  <c r="U584" i="1"/>
  <c r="J584" i="1" s="1"/>
  <c r="U585" i="1"/>
  <c r="J585" i="1" s="1"/>
  <c r="U586" i="1"/>
  <c r="J586" i="1" s="1"/>
  <c r="U587" i="1"/>
  <c r="J587" i="1" s="1"/>
  <c r="U588" i="1"/>
  <c r="J588" i="1" s="1"/>
  <c r="U589" i="1"/>
  <c r="J589" i="1" s="1"/>
  <c r="M581" i="1"/>
  <c r="M582" i="1"/>
  <c r="M583" i="1"/>
  <c r="M584" i="1"/>
  <c r="M585" i="1"/>
  <c r="M586" i="1"/>
  <c r="M587" i="1"/>
  <c r="M588" i="1"/>
  <c r="M589" i="1"/>
  <c r="K596" i="1" l="1"/>
  <c r="P596" i="1"/>
  <c r="K585" i="1"/>
  <c r="P585" i="1"/>
  <c r="K595" i="1"/>
  <c r="P595" i="1"/>
  <c r="K584" i="1"/>
  <c r="P584" i="1"/>
  <c r="K589" i="1"/>
  <c r="P589" i="1"/>
  <c r="K583" i="1"/>
  <c r="P583" i="1"/>
  <c r="K601" i="1"/>
  <c r="P601" i="1"/>
  <c r="K593" i="1"/>
  <c r="P593" i="1"/>
  <c r="K586" i="1"/>
  <c r="P586" i="1"/>
  <c r="K594" i="1"/>
  <c r="P594" i="1"/>
  <c r="K588" i="1"/>
  <c r="P588" i="1"/>
  <c r="K582" i="1"/>
  <c r="P582" i="1"/>
  <c r="K600" i="1"/>
  <c r="P600" i="1"/>
  <c r="K592" i="1"/>
  <c r="P592" i="1"/>
  <c r="K587" i="1"/>
  <c r="P587" i="1"/>
  <c r="K581" i="1"/>
  <c r="P581" i="1"/>
  <c r="K599" i="1"/>
  <c r="P599" i="1"/>
  <c r="K591" i="1"/>
  <c r="P591" i="1"/>
  <c r="K598" i="1"/>
  <c r="P598" i="1"/>
  <c r="K590" i="1"/>
  <c r="P590" i="1"/>
  <c r="K597" i="1"/>
  <c r="P597" i="1"/>
  <c r="U575" i="1"/>
  <c r="J575" i="1" s="1"/>
  <c r="K575" i="1" s="1"/>
  <c r="U576" i="1"/>
  <c r="J576" i="1" s="1"/>
  <c r="K576" i="1" s="1"/>
  <c r="U577" i="1"/>
  <c r="J577" i="1" s="1"/>
  <c r="K577" i="1" s="1"/>
  <c r="U578" i="1"/>
  <c r="J578" i="1" s="1"/>
  <c r="K578" i="1" s="1"/>
  <c r="U579" i="1"/>
  <c r="J579" i="1" s="1"/>
  <c r="U580" i="1"/>
  <c r="J580" i="1" s="1"/>
  <c r="M575" i="1"/>
  <c r="M576" i="1"/>
  <c r="M577" i="1"/>
  <c r="M578" i="1"/>
  <c r="M579" i="1"/>
  <c r="M580" i="1"/>
  <c r="K579" i="1" l="1"/>
  <c r="P579" i="1"/>
  <c r="K580" i="1"/>
  <c r="P580" i="1"/>
  <c r="L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BG3" i="10"/>
  <c r="BH3" i="10"/>
  <c r="BI3" i="10"/>
  <c r="BJ3" i="10"/>
  <c r="BK3" i="10"/>
  <c r="BL3" i="10"/>
  <c r="BM3" i="10"/>
  <c r="BN3" i="10"/>
  <c r="BO3" i="10"/>
  <c r="BP3" i="10"/>
  <c r="BQ3" i="10"/>
  <c r="BR3" i="10"/>
  <c r="BS3" i="10"/>
  <c r="BT3" i="10"/>
  <c r="BU3" i="10"/>
  <c r="BV3" i="10"/>
  <c r="BW3" i="10"/>
  <c r="BX3" i="10"/>
  <c r="BY3" i="10"/>
  <c r="BZ3" i="10"/>
  <c r="CA3" i="10"/>
  <c r="CB3" i="10"/>
  <c r="CC3" i="10"/>
  <c r="CD3" i="10"/>
  <c r="CE3" i="10"/>
  <c r="CF3" i="10"/>
  <c r="CG3" i="10"/>
  <c r="CH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U718" i="10"/>
  <c r="J718" i="10" s="1"/>
  <c r="K718" i="10" s="1"/>
  <c r="U719" i="10"/>
  <c r="J719" i="10" s="1"/>
  <c r="K719" i="10" s="1"/>
  <c r="U720" i="10"/>
  <c r="J720" i="10" s="1"/>
  <c r="K720" i="10" s="1"/>
  <c r="U721" i="10"/>
  <c r="J721" i="10" s="1"/>
  <c r="K721" i="10" s="1"/>
  <c r="M718" i="10"/>
  <c r="M719" i="10"/>
  <c r="M720" i="10"/>
  <c r="M721" i="10"/>
  <c r="U717" i="10" l="1"/>
  <c r="J717" i="10" s="1"/>
  <c r="K717" i="10" s="1"/>
  <c r="U716" i="10"/>
  <c r="J716" i="10" s="1"/>
  <c r="K716" i="10" s="1"/>
  <c r="U715" i="10"/>
  <c r="J715" i="10" s="1"/>
  <c r="K715" i="10" s="1"/>
  <c r="U714" i="10"/>
  <c r="J714" i="10" s="1"/>
  <c r="K714" i="10" s="1"/>
  <c r="U713" i="10"/>
  <c r="J713" i="10" s="1"/>
  <c r="K713" i="10" s="1"/>
  <c r="U712" i="10"/>
  <c r="J712" i="10" s="1"/>
  <c r="K712" i="10" s="1"/>
  <c r="U711" i="10"/>
  <c r="J711" i="10" s="1"/>
  <c r="K711" i="10" s="1"/>
  <c r="M717" i="10"/>
  <c r="M716" i="10"/>
  <c r="M715" i="10"/>
  <c r="M714" i="10"/>
  <c r="M713" i="10"/>
  <c r="M712" i="10"/>
  <c r="M711" i="10"/>
  <c r="U574" i="1"/>
  <c r="J574" i="1" s="1"/>
  <c r="K574" i="1" s="1"/>
  <c r="U573" i="1"/>
  <c r="J573" i="1" s="1"/>
  <c r="K573" i="1" s="1"/>
  <c r="U572" i="1"/>
  <c r="J572" i="1" s="1"/>
  <c r="U571" i="1"/>
  <c r="J571" i="1" s="1"/>
  <c r="U570" i="1"/>
  <c r="J570" i="1" s="1"/>
  <c r="U569" i="1"/>
  <c r="J569" i="1" s="1"/>
  <c r="U568" i="1"/>
  <c r="J568" i="1" s="1"/>
  <c r="U567" i="1"/>
  <c r="J567" i="1" s="1"/>
  <c r="U566" i="1"/>
  <c r="J566" i="1" s="1"/>
  <c r="U565" i="1"/>
  <c r="J565" i="1" s="1"/>
  <c r="U564" i="1"/>
  <c r="J564" i="1" s="1"/>
  <c r="U563" i="1"/>
  <c r="J563" i="1" s="1"/>
  <c r="U562" i="1"/>
  <c r="J562" i="1" s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U561" i="1"/>
  <c r="J561" i="1" s="1"/>
  <c r="K561" i="1" s="1"/>
  <c r="U560" i="1"/>
  <c r="J560" i="1" s="1"/>
  <c r="K560" i="1" s="1"/>
  <c r="U559" i="1"/>
  <c r="J559" i="1" s="1"/>
  <c r="K559" i="1" s="1"/>
  <c r="U558" i="1"/>
  <c r="J558" i="1" s="1"/>
  <c r="K558" i="1" s="1"/>
  <c r="U557" i="1"/>
  <c r="J557" i="1" s="1"/>
  <c r="K557" i="1" s="1"/>
  <c r="U556" i="1"/>
  <c r="J556" i="1" s="1"/>
  <c r="U555" i="1"/>
  <c r="J555" i="1" s="1"/>
  <c r="U554" i="1"/>
  <c r="J554" i="1" s="1"/>
  <c r="U553" i="1"/>
  <c r="J553" i="1" s="1"/>
  <c r="U552" i="1"/>
  <c r="J552" i="1" s="1"/>
  <c r="U551" i="1"/>
  <c r="J551" i="1" s="1"/>
  <c r="U550" i="1"/>
  <c r="J550" i="1" s="1"/>
  <c r="K550" i="1" s="1"/>
  <c r="U549" i="1"/>
  <c r="J549" i="1" s="1"/>
  <c r="K549" i="1" s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U548" i="1"/>
  <c r="J548" i="1" s="1"/>
  <c r="K548" i="1" s="1"/>
  <c r="M548" i="1"/>
  <c r="U706" i="10"/>
  <c r="J706" i="10" s="1"/>
  <c r="K706" i="10" s="1"/>
  <c r="U707" i="10"/>
  <c r="J707" i="10" s="1"/>
  <c r="K707" i="10" s="1"/>
  <c r="U708" i="10"/>
  <c r="J708" i="10" s="1"/>
  <c r="K708" i="10" s="1"/>
  <c r="U709" i="10"/>
  <c r="J709" i="10" s="1"/>
  <c r="K709" i="10" s="1"/>
  <c r="U710" i="10"/>
  <c r="J710" i="10" s="1"/>
  <c r="K710" i="10" s="1"/>
  <c r="M706" i="10"/>
  <c r="M707" i="10"/>
  <c r="M708" i="10"/>
  <c r="M709" i="10"/>
  <c r="M710" i="10"/>
  <c r="K554" i="1" l="1"/>
  <c r="P554" i="1"/>
  <c r="K555" i="1"/>
  <c r="P555" i="1"/>
  <c r="K566" i="1"/>
  <c r="P566" i="1"/>
  <c r="K568" i="1"/>
  <c r="P568" i="1"/>
  <c r="K556" i="1"/>
  <c r="P556" i="1"/>
  <c r="K567" i="1"/>
  <c r="P567" i="1"/>
  <c r="K569" i="1"/>
  <c r="P569" i="1"/>
  <c r="K551" i="1"/>
  <c r="P551" i="1"/>
  <c r="K562" i="1"/>
  <c r="P562" i="1"/>
  <c r="K570" i="1"/>
  <c r="P570" i="1"/>
  <c r="K565" i="1"/>
  <c r="P565" i="1"/>
  <c r="K552" i="1"/>
  <c r="P552" i="1"/>
  <c r="K563" i="1"/>
  <c r="P563" i="1"/>
  <c r="K571" i="1"/>
  <c r="P571" i="1"/>
  <c r="K553" i="1"/>
  <c r="P553" i="1"/>
  <c r="K564" i="1"/>
  <c r="P564" i="1"/>
  <c r="K572" i="1"/>
  <c r="P572" i="1"/>
  <c r="U705" i="10"/>
  <c r="J705" i="10" s="1"/>
  <c r="K705" i="10" s="1"/>
  <c r="U704" i="10"/>
  <c r="J704" i="10" s="1"/>
  <c r="K704" i="10" s="1"/>
  <c r="U703" i="10"/>
  <c r="J703" i="10" s="1"/>
  <c r="K703" i="10" s="1"/>
  <c r="U702" i="10"/>
  <c r="J702" i="10" s="1"/>
  <c r="K702" i="10" s="1"/>
  <c r="U701" i="10"/>
  <c r="J701" i="10" s="1"/>
  <c r="K701" i="10" s="1"/>
  <c r="U700" i="10"/>
  <c r="J700" i="10" s="1"/>
  <c r="K700" i="10" s="1"/>
  <c r="U699" i="10"/>
  <c r="J699" i="10" s="1"/>
  <c r="K699" i="10" s="1"/>
  <c r="U698" i="10"/>
  <c r="J698" i="10" s="1"/>
  <c r="K698" i="10" s="1"/>
  <c r="U697" i="10"/>
  <c r="J697" i="10" s="1"/>
  <c r="K697" i="10" s="1"/>
  <c r="U696" i="10"/>
  <c r="J696" i="10" s="1"/>
  <c r="K696" i="10" s="1"/>
  <c r="U695" i="10"/>
  <c r="J695" i="10" s="1"/>
  <c r="K695" i="10" s="1"/>
  <c r="U694" i="10"/>
  <c r="J694" i="10" s="1"/>
  <c r="K694" i="10" s="1"/>
  <c r="U693" i="10"/>
  <c r="J693" i="10" s="1"/>
  <c r="K693" i="10" s="1"/>
  <c r="M705" i="10"/>
  <c r="M704" i="10"/>
  <c r="M703" i="10"/>
  <c r="M702" i="10"/>
  <c r="M701" i="10"/>
  <c r="M700" i="10"/>
  <c r="M699" i="10"/>
  <c r="M698" i="10"/>
  <c r="M697" i="10"/>
  <c r="M696" i="10"/>
  <c r="M695" i="10"/>
  <c r="M694" i="10"/>
  <c r="M693" i="10"/>
  <c r="U547" i="1"/>
  <c r="J547" i="1" s="1"/>
  <c r="K547" i="1" s="1"/>
  <c r="U546" i="1"/>
  <c r="J546" i="1" s="1"/>
  <c r="K546" i="1" s="1"/>
  <c r="U545" i="1"/>
  <c r="J545" i="1" s="1"/>
  <c r="K545" i="1" s="1"/>
  <c r="U544" i="1"/>
  <c r="J544" i="1" s="1"/>
  <c r="K544" i="1" s="1"/>
  <c r="U543" i="1"/>
  <c r="J543" i="1" s="1"/>
  <c r="K543" i="1" s="1"/>
  <c r="U542" i="1"/>
  <c r="J542" i="1" s="1"/>
  <c r="K542" i="1" s="1"/>
  <c r="U541" i="1"/>
  <c r="J541" i="1" s="1"/>
  <c r="K541" i="1" s="1"/>
  <c r="U540" i="1"/>
  <c r="J540" i="1" s="1"/>
  <c r="K540" i="1" s="1"/>
  <c r="U539" i="1"/>
  <c r="J539" i="1" s="1"/>
  <c r="K539" i="1" s="1"/>
  <c r="M547" i="1"/>
  <c r="M546" i="1"/>
  <c r="M545" i="1"/>
  <c r="M544" i="1"/>
  <c r="M543" i="1"/>
  <c r="M542" i="1"/>
  <c r="M541" i="1"/>
  <c r="M540" i="1"/>
  <c r="M539" i="1"/>
  <c r="U688" i="10"/>
  <c r="J688" i="10" s="1"/>
  <c r="K688" i="10" s="1"/>
  <c r="U689" i="10"/>
  <c r="J689" i="10" s="1"/>
  <c r="K689" i="10" s="1"/>
  <c r="U690" i="10"/>
  <c r="J690" i="10" s="1"/>
  <c r="K690" i="10" s="1"/>
  <c r="U691" i="10"/>
  <c r="J691" i="10" s="1"/>
  <c r="K691" i="10" s="1"/>
  <c r="U692" i="10"/>
  <c r="M688" i="10"/>
  <c r="M689" i="10"/>
  <c r="M690" i="10"/>
  <c r="M691" i="10"/>
  <c r="M692" i="10"/>
  <c r="I692" i="10"/>
  <c r="U684" i="10"/>
  <c r="J684" i="10" s="1"/>
  <c r="K684" i="10" s="1"/>
  <c r="U685" i="10"/>
  <c r="J685" i="10" s="1"/>
  <c r="K685" i="10" s="1"/>
  <c r="U686" i="10"/>
  <c r="J686" i="10" s="1"/>
  <c r="K686" i="10" s="1"/>
  <c r="U687" i="10"/>
  <c r="J687" i="10" s="1"/>
  <c r="K687" i="10" s="1"/>
  <c r="M684" i="10"/>
  <c r="M685" i="10"/>
  <c r="M686" i="10"/>
  <c r="M687" i="10"/>
  <c r="U683" i="10"/>
  <c r="J683" i="10" s="1"/>
  <c r="K683" i="10" s="1"/>
  <c r="M683" i="10"/>
  <c r="M682" i="10"/>
  <c r="J692" i="10" l="1"/>
  <c r="K692" i="10" s="1"/>
  <c r="U672" i="10" l="1"/>
  <c r="J672" i="10" s="1"/>
  <c r="K672" i="10" s="1"/>
  <c r="U673" i="10"/>
  <c r="J673" i="10" s="1"/>
  <c r="K673" i="10" s="1"/>
  <c r="U674" i="10"/>
  <c r="J674" i="10" s="1"/>
  <c r="K674" i="10" s="1"/>
  <c r="U675" i="10"/>
  <c r="J675" i="10" s="1"/>
  <c r="K675" i="10" s="1"/>
  <c r="U676" i="10"/>
  <c r="J676" i="10" s="1"/>
  <c r="K676" i="10" s="1"/>
  <c r="U677" i="10"/>
  <c r="J677" i="10" s="1"/>
  <c r="K677" i="10" s="1"/>
  <c r="U678" i="10"/>
  <c r="J678" i="10" s="1"/>
  <c r="U679" i="10"/>
  <c r="J679" i="10" s="1"/>
  <c r="K679" i="10" s="1"/>
  <c r="U680" i="10"/>
  <c r="J680" i="10" s="1"/>
  <c r="K680" i="10" s="1"/>
  <c r="U681" i="10"/>
  <c r="J681" i="10" s="1"/>
  <c r="K681" i="10" s="1"/>
  <c r="U682" i="10"/>
  <c r="J682" i="10" s="1"/>
  <c r="K682" i="10" s="1"/>
  <c r="M672" i="10"/>
  <c r="M673" i="10"/>
  <c r="M674" i="10"/>
  <c r="M675" i="10"/>
  <c r="M676" i="10"/>
  <c r="M677" i="10"/>
  <c r="M678" i="10"/>
  <c r="M679" i="10"/>
  <c r="M680" i="10"/>
  <c r="M681" i="10"/>
  <c r="K678" i="10" l="1"/>
  <c r="O678" i="10"/>
  <c r="M535" i="1"/>
  <c r="U535" i="1"/>
  <c r="J535" i="1" s="1"/>
  <c r="K535" i="1" s="1"/>
  <c r="M536" i="1"/>
  <c r="U536" i="1"/>
  <c r="J536" i="1" s="1"/>
  <c r="K536" i="1" s="1"/>
  <c r="M537" i="1"/>
  <c r="U537" i="1"/>
  <c r="J537" i="1" s="1"/>
  <c r="K537" i="1" s="1"/>
  <c r="M538" i="1"/>
  <c r="U538" i="1"/>
  <c r="J538" i="1" s="1"/>
  <c r="K538" i="1" s="1"/>
  <c r="U652" i="10" l="1"/>
  <c r="J652" i="10" s="1"/>
  <c r="K652" i="10" s="1"/>
  <c r="U653" i="10"/>
  <c r="J653" i="10" s="1"/>
  <c r="K653" i="10" s="1"/>
  <c r="U654" i="10"/>
  <c r="J654" i="10" s="1"/>
  <c r="K654" i="10" s="1"/>
  <c r="U655" i="10"/>
  <c r="J655" i="10" s="1"/>
  <c r="K655" i="10" s="1"/>
  <c r="U656" i="10"/>
  <c r="J656" i="10" s="1"/>
  <c r="K656" i="10" s="1"/>
  <c r="U657" i="10"/>
  <c r="J657" i="10" s="1"/>
  <c r="K657" i="10" s="1"/>
  <c r="U658" i="10"/>
  <c r="J658" i="10" s="1"/>
  <c r="U659" i="10"/>
  <c r="J659" i="10" s="1"/>
  <c r="K659" i="10" s="1"/>
  <c r="U660" i="10"/>
  <c r="J660" i="10" s="1"/>
  <c r="K660" i="10" s="1"/>
  <c r="U661" i="10"/>
  <c r="J661" i="10" s="1"/>
  <c r="K661" i="10" s="1"/>
  <c r="U662" i="10"/>
  <c r="J662" i="10" s="1"/>
  <c r="K662" i="10" s="1"/>
  <c r="U663" i="10"/>
  <c r="J663" i="10" s="1"/>
  <c r="K663" i="10" s="1"/>
  <c r="U664" i="10"/>
  <c r="J664" i="10" s="1"/>
  <c r="K664" i="10" s="1"/>
  <c r="U665" i="10"/>
  <c r="J665" i="10" s="1"/>
  <c r="K665" i="10" s="1"/>
  <c r="U666" i="10"/>
  <c r="J666" i="10" s="1"/>
  <c r="K666" i="10" s="1"/>
  <c r="U667" i="10"/>
  <c r="J667" i="10" s="1"/>
  <c r="K667" i="10" s="1"/>
  <c r="U668" i="10"/>
  <c r="J668" i="10" s="1"/>
  <c r="K668" i="10" s="1"/>
  <c r="U669" i="10"/>
  <c r="J669" i="10" s="1"/>
  <c r="K669" i="10" s="1"/>
  <c r="U670" i="10"/>
  <c r="J670" i="10" s="1"/>
  <c r="K670" i="10" s="1"/>
  <c r="U671" i="10"/>
  <c r="J671" i="10" s="1"/>
  <c r="K671" i="10" s="1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K658" i="10" l="1"/>
  <c r="O658" i="10"/>
  <c r="O683" i="10" s="1"/>
  <c r="M646" i="10"/>
  <c r="U646" i="10"/>
  <c r="J646" i="10" s="1"/>
  <c r="K646" i="10" s="1"/>
  <c r="M647" i="10"/>
  <c r="U647" i="10"/>
  <c r="J647" i="10" s="1"/>
  <c r="K647" i="10" s="1"/>
  <c r="M648" i="10"/>
  <c r="U648" i="10"/>
  <c r="J648" i="10" s="1"/>
  <c r="K648" i="10" s="1"/>
  <c r="M649" i="10"/>
  <c r="U649" i="10"/>
  <c r="J649" i="10" s="1"/>
  <c r="K649" i="10" s="1"/>
  <c r="M650" i="10"/>
  <c r="U650" i="10"/>
  <c r="J650" i="10" s="1"/>
  <c r="K650" i="10" s="1"/>
  <c r="M651" i="10"/>
  <c r="U651" i="10"/>
  <c r="J651" i="10" s="1"/>
  <c r="K651" i="10" s="1"/>
  <c r="U625" i="10" l="1"/>
  <c r="J625" i="10" s="1"/>
  <c r="K625" i="10" s="1"/>
  <c r="U626" i="10"/>
  <c r="J626" i="10" s="1"/>
  <c r="K626" i="10" s="1"/>
  <c r="U627" i="10"/>
  <c r="J627" i="10" s="1"/>
  <c r="K627" i="10" s="1"/>
  <c r="U628" i="10"/>
  <c r="J628" i="10" s="1"/>
  <c r="K628" i="10" s="1"/>
  <c r="U629" i="10"/>
  <c r="J629" i="10" s="1"/>
  <c r="K629" i="10" s="1"/>
  <c r="U630" i="10"/>
  <c r="J630" i="10" s="1"/>
  <c r="K630" i="10" s="1"/>
  <c r="U631" i="10"/>
  <c r="J631" i="10" s="1"/>
  <c r="K631" i="10" s="1"/>
  <c r="U632" i="10"/>
  <c r="J632" i="10" s="1"/>
  <c r="K632" i="10" s="1"/>
  <c r="U633" i="10"/>
  <c r="J633" i="10" s="1"/>
  <c r="K633" i="10" s="1"/>
  <c r="U634" i="10"/>
  <c r="J634" i="10" s="1"/>
  <c r="K634" i="10" s="1"/>
  <c r="U635" i="10"/>
  <c r="J635" i="10" s="1"/>
  <c r="K635" i="10" s="1"/>
  <c r="U636" i="10"/>
  <c r="J636" i="10" s="1"/>
  <c r="U637" i="10"/>
  <c r="J637" i="10" s="1"/>
  <c r="K637" i="10" s="1"/>
  <c r="U638" i="10"/>
  <c r="J638" i="10" s="1"/>
  <c r="K638" i="10" s="1"/>
  <c r="U639" i="10"/>
  <c r="J639" i="10" s="1"/>
  <c r="K639" i="10" s="1"/>
  <c r="U640" i="10"/>
  <c r="J640" i="10" s="1"/>
  <c r="K640" i="10" s="1"/>
  <c r="U641" i="10"/>
  <c r="J641" i="10" s="1"/>
  <c r="K641" i="10" s="1"/>
  <c r="U642" i="10"/>
  <c r="J642" i="10" s="1"/>
  <c r="K642" i="10" s="1"/>
  <c r="U643" i="10"/>
  <c r="J643" i="10" s="1"/>
  <c r="K643" i="10" s="1"/>
  <c r="U644" i="10"/>
  <c r="J644" i="10" s="1"/>
  <c r="K644" i="10" s="1"/>
  <c r="U645" i="10"/>
  <c r="J645" i="10" s="1"/>
  <c r="K645" i="10" s="1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K636" i="10" l="1"/>
  <c r="O636" i="10"/>
  <c r="U614" i="10"/>
  <c r="J614" i="10" s="1"/>
  <c r="K614" i="10" s="1"/>
  <c r="U615" i="10"/>
  <c r="J615" i="10" s="1"/>
  <c r="K615" i="10" s="1"/>
  <c r="U616" i="10"/>
  <c r="J616" i="10" s="1"/>
  <c r="K616" i="10" s="1"/>
  <c r="U617" i="10"/>
  <c r="J617" i="10" s="1"/>
  <c r="K617" i="10" s="1"/>
  <c r="U618" i="10"/>
  <c r="J618" i="10" s="1"/>
  <c r="K618" i="10" s="1"/>
  <c r="U619" i="10"/>
  <c r="J619" i="10" s="1"/>
  <c r="K619" i="10" s="1"/>
  <c r="U620" i="10"/>
  <c r="J620" i="10" s="1"/>
  <c r="K620" i="10" s="1"/>
  <c r="U621" i="10"/>
  <c r="J621" i="10" s="1"/>
  <c r="K621" i="10" s="1"/>
  <c r="U622" i="10"/>
  <c r="J622" i="10" s="1"/>
  <c r="K622" i="10" s="1"/>
  <c r="U623" i="10"/>
  <c r="J623" i="10" s="1"/>
  <c r="K623" i="10" s="1"/>
  <c r="U624" i="10"/>
  <c r="J624" i="10" s="1"/>
  <c r="K624" i="10" s="1"/>
  <c r="M614" i="10"/>
  <c r="M615" i="10"/>
  <c r="M616" i="10"/>
  <c r="M617" i="10"/>
  <c r="M618" i="10"/>
  <c r="M619" i="10"/>
  <c r="M620" i="10"/>
  <c r="M621" i="10"/>
  <c r="M622" i="10"/>
  <c r="M623" i="10"/>
  <c r="M624" i="10"/>
  <c r="U612" i="10" l="1"/>
  <c r="U613" i="10"/>
  <c r="J613" i="10" s="1"/>
  <c r="K613" i="10" s="1"/>
  <c r="M613" i="10"/>
  <c r="M534" i="1" l="1"/>
  <c r="U534" i="1"/>
  <c r="J534" i="1" s="1"/>
  <c r="K534" i="1" s="1"/>
  <c r="M528" i="1"/>
  <c r="U528" i="1"/>
  <c r="J528" i="1" s="1"/>
  <c r="K528" i="1" s="1"/>
  <c r="M529" i="1"/>
  <c r="U529" i="1"/>
  <c r="J529" i="1" s="1"/>
  <c r="K529" i="1" s="1"/>
  <c r="M530" i="1"/>
  <c r="U530" i="1"/>
  <c r="J530" i="1" s="1"/>
  <c r="M531" i="1"/>
  <c r="U531" i="1"/>
  <c r="J531" i="1" s="1"/>
  <c r="M532" i="1"/>
  <c r="U532" i="1"/>
  <c r="J532" i="1" s="1"/>
  <c r="M533" i="1"/>
  <c r="U533" i="1"/>
  <c r="J533" i="1" s="1"/>
  <c r="K533" i="1" l="1"/>
  <c r="P533" i="1"/>
  <c r="K531" i="1"/>
  <c r="P531" i="1"/>
  <c r="K530" i="1"/>
  <c r="P530" i="1"/>
  <c r="K532" i="1"/>
  <c r="P532" i="1"/>
  <c r="M526" i="1"/>
  <c r="U526" i="1"/>
  <c r="J526" i="1" s="1"/>
  <c r="K526" i="1" s="1"/>
  <c r="M527" i="1"/>
  <c r="U527" i="1"/>
  <c r="J527" i="1" s="1"/>
  <c r="K527" i="1" s="1"/>
  <c r="M525" i="1" l="1"/>
  <c r="U525" i="1"/>
  <c r="J525" i="1" s="1"/>
  <c r="K525" i="1" s="1"/>
  <c r="M524" i="1"/>
  <c r="U524" i="1"/>
  <c r="J524" i="1" s="1"/>
  <c r="K524" i="1" s="1"/>
  <c r="U523" i="1"/>
  <c r="J523" i="1" s="1"/>
  <c r="K523" i="1" s="1"/>
  <c r="U522" i="1"/>
  <c r="J522" i="1" s="1"/>
  <c r="K522" i="1" s="1"/>
  <c r="U521" i="1"/>
  <c r="J521" i="1" s="1"/>
  <c r="K521" i="1" s="1"/>
  <c r="U520" i="1"/>
  <c r="J520" i="1" s="1"/>
  <c r="K520" i="1" s="1"/>
  <c r="M523" i="1"/>
  <c r="M522" i="1"/>
  <c r="M521" i="1"/>
  <c r="M520" i="1"/>
  <c r="U518" i="1"/>
  <c r="J518" i="1" s="1"/>
  <c r="K518" i="1" s="1"/>
  <c r="U519" i="1"/>
  <c r="J519" i="1" s="1"/>
  <c r="K519" i="1" s="1"/>
  <c r="M518" i="1"/>
  <c r="M519" i="1"/>
  <c r="J612" i="10" l="1"/>
  <c r="K612" i="10" s="1"/>
  <c r="U611" i="10"/>
  <c r="J611" i="10" s="1"/>
  <c r="K611" i="10" s="1"/>
  <c r="U610" i="10"/>
  <c r="J610" i="10" s="1"/>
  <c r="K610" i="10" s="1"/>
  <c r="U609" i="10"/>
  <c r="J609" i="10" s="1"/>
  <c r="U608" i="10"/>
  <c r="J608" i="10" s="1"/>
  <c r="K608" i="10" s="1"/>
  <c r="U607" i="10"/>
  <c r="J607" i="10" s="1"/>
  <c r="K607" i="10" s="1"/>
  <c r="U606" i="10"/>
  <c r="J606" i="10" s="1"/>
  <c r="U605" i="10"/>
  <c r="J605" i="10" s="1"/>
  <c r="K605" i="10" s="1"/>
  <c r="U604" i="10"/>
  <c r="J604" i="10" s="1"/>
  <c r="K604" i="10" s="1"/>
  <c r="U603" i="10"/>
  <c r="J603" i="10" s="1"/>
  <c r="K603" i="10" s="1"/>
  <c r="U602" i="10"/>
  <c r="J602" i="10" s="1"/>
  <c r="K602" i="10" s="1"/>
  <c r="U601" i="10"/>
  <c r="J601" i="10" s="1"/>
  <c r="K601" i="10" s="1"/>
  <c r="U600" i="10"/>
  <c r="J600" i="10" s="1"/>
  <c r="K600" i="10" s="1"/>
  <c r="U599" i="10"/>
  <c r="J599" i="10" s="1"/>
  <c r="K599" i="10" s="1"/>
  <c r="U598" i="10"/>
  <c r="J598" i="10" s="1"/>
  <c r="P598" i="10" s="1"/>
  <c r="U597" i="10"/>
  <c r="J597" i="10" s="1"/>
  <c r="P597" i="10" s="1"/>
  <c r="U596" i="10"/>
  <c r="J596" i="10" s="1"/>
  <c r="O596" i="10" s="1"/>
  <c r="P596" i="10" s="1"/>
  <c r="U595" i="10"/>
  <c r="J595" i="10" s="1"/>
  <c r="M612" i="10"/>
  <c r="M611" i="10"/>
  <c r="M610" i="10"/>
  <c r="M609" i="10"/>
  <c r="M608" i="10"/>
  <c r="M607" i="10"/>
  <c r="M606" i="10"/>
  <c r="M605" i="10"/>
  <c r="M604" i="10"/>
  <c r="M603" i="10"/>
  <c r="M602" i="10"/>
  <c r="M601" i="10"/>
  <c r="M600" i="10"/>
  <c r="M599" i="10"/>
  <c r="M598" i="10"/>
  <c r="M597" i="10"/>
  <c r="M596" i="10"/>
  <c r="M595" i="10"/>
  <c r="O595" i="10" l="1"/>
  <c r="P595" i="10" s="1"/>
  <c r="K595" i="10"/>
  <c r="K596" i="10"/>
  <c r="K597" i="10"/>
  <c r="K598" i="10"/>
  <c r="K606" i="10"/>
  <c r="P606" i="10"/>
  <c r="K609" i="10"/>
  <c r="P609" i="10"/>
  <c r="U516" i="1" l="1"/>
  <c r="J516" i="1" s="1"/>
  <c r="K516" i="1" s="1"/>
  <c r="U517" i="1"/>
  <c r="J517" i="1" s="1"/>
  <c r="K517" i="1" s="1"/>
  <c r="M516" i="1"/>
  <c r="M517" i="1"/>
  <c r="O153" i="10" l="1"/>
  <c r="M249" i="1" l="1"/>
  <c r="M250" i="1"/>
  <c r="I251" i="1"/>
  <c r="M251" i="1"/>
  <c r="I252" i="1"/>
  <c r="M252" i="1"/>
  <c r="I253" i="1"/>
  <c r="M253" i="1"/>
  <c r="I254" i="1"/>
  <c r="M254" i="1"/>
  <c r="I255" i="1"/>
  <c r="M255" i="1"/>
  <c r="M256" i="1"/>
  <c r="M257" i="1"/>
  <c r="M258" i="1"/>
  <c r="M259" i="1"/>
  <c r="M260" i="1"/>
  <c r="M261" i="1"/>
  <c r="M262" i="1"/>
  <c r="M263" i="1"/>
  <c r="M264" i="1"/>
  <c r="M265" i="1"/>
  <c r="I266" i="1"/>
  <c r="M266" i="1"/>
  <c r="M267" i="1"/>
  <c r="M268" i="1"/>
  <c r="I454" i="10" l="1"/>
  <c r="I455" i="10"/>
  <c r="I532" i="10"/>
  <c r="I533" i="10"/>
  <c r="I534" i="10"/>
  <c r="U515" i="1"/>
  <c r="J515" i="1" s="1"/>
  <c r="M515" i="1"/>
  <c r="U179" i="1"/>
  <c r="J179" i="1" s="1"/>
  <c r="U180" i="1"/>
  <c r="J180" i="1" s="1"/>
  <c r="U181" i="1"/>
  <c r="J181" i="1" s="1"/>
  <c r="U182" i="1"/>
  <c r="J182" i="1" s="1"/>
  <c r="U183" i="1"/>
  <c r="J183" i="1" s="1"/>
  <c r="U184" i="1"/>
  <c r="J184" i="1" s="1"/>
  <c r="U185" i="1"/>
  <c r="J185" i="1" s="1"/>
  <c r="U186" i="1"/>
  <c r="J186" i="1" s="1"/>
  <c r="K186" i="1" s="1"/>
  <c r="U187" i="1"/>
  <c r="J187" i="1" s="1"/>
  <c r="U188" i="1"/>
  <c r="J188" i="1" s="1"/>
  <c r="K188" i="1" s="1"/>
  <c r="U189" i="1"/>
  <c r="J189" i="1" s="1"/>
  <c r="K189" i="1" s="1"/>
  <c r="U190" i="1"/>
  <c r="J190" i="1" s="1"/>
  <c r="P190" i="1" s="1"/>
  <c r="U191" i="1"/>
  <c r="J191" i="1" s="1"/>
  <c r="K191" i="1" s="1"/>
  <c r="U192" i="1"/>
  <c r="J192" i="1" s="1"/>
  <c r="U193" i="1"/>
  <c r="J193" i="1" s="1"/>
  <c r="U194" i="1"/>
  <c r="J194" i="1" s="1"/>
  <c r="U195" i="1"/>
  <c r="J195" i="1" s="1"/>
  <c r="P195" i="1" s="1"/>
  <c r="U196" i="1"/>
  <c r="J196" i="1" s="1"/>
  <c r="P196" i="1" s="1"/>
  <c r="U197" i="1"/>
  <c r="J197" i="1" s="1"/>
  <c r="P197" i="1" s="1"/>
  <c r="U198" i="1"/>
  <c r="J198" i="1" s="1"/>
  <c r="U199" i="1"/>
  <c r="J199" i="1" s="1"/>
  <c r="K199" i="1" s="1"/>
  <c r="U200" i="1"/>
  <c r="J200" i="1" s="1"/>
  <c r="U201" i="1"/>
  <c r="J201" i="1" s="1"/>
  <c r="K201" i="1" s="1"/>
  <c r="U202" i="1"/>
  <c r="J202" i="1" s="1"/>
  <c r="U203" i="1"/>
  <c r="J203" i="1" s="1"/>
  <c r="K203" i="1" s="1"/>
  <c r="U204" i="1"/>
  <c r="U205" i="1"/>
  <c r="J205" i="1" s="1"/>
  <c r="K205" i="1" s="1"/>
  <c r="U206" i="1"/>
  <c r="J206" i="1" s="1"/>
  <c r="U207" i="1"/>
  <c r="J207" i="1" s="1"/>
  <c r="P207" i="1" s="1"/>
  <c r="U208" i="1"/>
  <c r="J208" i="1" s="1"/>
  <c r="P208" i="1" s="1"/>
  <c r="U209" i="1"/>
  <c r="J209" i="1" s="1"/>
  <c r="U210" i="1"/>
  <c r="J210" i="1" s="1"/>
  <c r="K210" i="1" s="1"/>
  <c r="U211" i="1"/>
  <c r="J211" i="1" s="1"/>
  <c r="P211" i="1" s="1"/>
  <c r="U212" i="1"/>
  <c r="J212" i="1" s="1"/>
  <c r="U213" i="1"/>
  <c r="J213" i="1" s="1"/>
  <c r="U214" i="1"/>
  <c r="J214" i="1" s="1"/>
  <c r="P214" i="1" s="1"/>
  <c r="U215" i="1"/>
  <c r="J215" i="1" s="1"/>
  <c r="P215" i="1" s="1"/>
  <c r="U216" i="1"/>
  <c r="J216" i="1" s="1"/>
  <c r="U217" i="1"/>
  <c r="J217" i="1" s="1"/>
  <c r="P217" i="1" s="1"/>
  <c r="U218" i="1"/>
  <c r="J218" i="1" s="1"/>
  <c r="U219" i="1"/>
  <c r="J219" i="1" s="1"/>
  <c r="U220" i="1"/>
  <c r="U221" i="1"/>
  <c r="J221" i="1" s="1"/>
  <c r="U222" i="1"/>
  <c r="U223" i="1"/>
  <c r="J223" i="1" s="1"/>
  <c r="U224" i="1"/>
  <c r="J224" i="1" s="1"/>
  <c r="U225" i="1"/>
  <c r="J225" i="1" s="1"/>
  <c r="U226" i="1"/>
  <c r="J226" i="1" s="1"/>
  <c r="U227" i="1"/>
  <c r="J227" i="1" s="1"/>
  <c r="P227" i="1" s="1"/>
  <c r="U228" i="1"/>
  <c r="J228" i="1" s="1"/>
  <c r="P228" i="1" s="1"/>
  <c r="U229" i="1"/>
  <c r="U230" i="1"/>
  <c r="J230" i="1" s="1"/>
  <c r="U231" i="1"/>
  <c r="J231" i="1" s="1"/>
  <c r="U232" i="1"/>
  <c r="J232" i="1" s="1"/>
  <c r="U233" i="1"/>
  <c r="J233" i="1" s="1"/>
  <c r="U234" i="1"/>
  <c r="J234" i="1" s="1"/>
  <c r="U235" i="1"/>
  <c r="J235" i="1" s="1"/>
  <c r="U236" i="1"/>
  <c r="J236" i="1" s="1"/>
  <c r="U237" i="1"/>
  <c r="J237" i="1" s="1"/>
  <c r="U238" i="1"/>
  <c r="J238" i="1" s="1"/>
  <c r="U239" i="1"/>
  <c r="J239" i="1" s="1"/>
  <c r="U240" i="1"/>
  <c r="J240" i="1" s="1"/>
  <c r="K240" i="1" s="1"/>
  <c r="U241" i="1"/>
  <c r="U242" i="1"/>
  <c r="J242" i="1" s="1"/>
  <c r="U243" i="1"/>
  <c r="J243" i="1" s="1"/>
  <c r="U244" i="1"/>
  <c r="U245" i="1"/>
  <c r="J245" i="1" s="1"/>
  <c r="U246" i="1"/>
  <c r="J246" i="1" s="1"/>
  <c r="U247" i="1"/>
  <c r="J247" i="1" s="1"/>
  <c r="U248" i="1"/>
  <c r="J248" i="1" s="1"/>
  <c r="P248" i="1" s="1"/>
  <c r="U249" i="1"/>
  <c r="U250" i="1"/>
  <c r="J250" i="1" s="1"/>
  <c r="U251" i="1"/>
  <c r="J251" i="1" s="1"/>
  <c r="U252" i="1"/>
  <c r="J252" i="1" s="1"/>
  <c r="U253" i="1"/>
  <c r="J253" i="1" s="1"/>
  <c r="U254" i="1"/>
  <c r="J254" i="1" s="1"/>
  <c r="U255" i="1"/>
  <c r="J255" i="1" s="1"/>
  <c r="U256" i="1"/>
  <c r="J256" i="1" s="1"/>
  <c r="U257" i="1"/>
  <c r="U258" i="1"/>
  <c r="J258" i="1" s="1"/>
  <c r="U259" i="1"/>
  <c r="J259" i="1" s="1"/>
  <c r="U260" i="1"/>
  <c r="J260" i="1" s="1"/>
  <c r="U261" i="1"/>
  <c r="J261" i="1" s="1"/>
  <c r="U262" i="1"/>
  <c r="J262" i="1" s="1"/>
  <c r="U263" i="1"/>
  <c r="J263" i="1" s="1"/>
  <c r="U264" i="1"/>
  <c r="J264" i="1" s="1"/>
  <c r="U265" i="1"/>
  <c r="J265" i="1" s="1"/>
  <c r="U266" i="1"/>
  <c r="J266" i="1" s="1"/>
  <c r="U267" i="1"/>
  <c r="U268" i="1"/>
  <c r="J268" i="1" s="1"/>
  <c r="U269" i="1"/>
  <c r="J269" i="1" s="1"/>
  <c r="U270" i="1"/>
  <c r="J270" i="1" s="1"/>
  <c r="U271" i="1"/>
  <c r="J271" i="1" s="1"/>
  <c r="P271" i="1" s="1"/>
  <c r="U272" i="1"/>
  <c r="J272" i="1" s="1"/>
  <c r="P272" i="1" s="1"/>
  <c r="U273" i="1"/>
  <c r="J273" i="1" s="1"/>
  <c r="P273" i="1" s="1"/>
  <c r="U274" i="1"/>
  <c r="J274" i="1" s="1"/>
  <c r="U275" i="1"/>
  <c r="J275" i="1" s="1"/>
  <c r="U276" i="1"/>
  <c r="J276" i="1" s="1"/>
  <c r="K276" i="1" s="1"/>
  <c r="U277" i="1"/>
  <c r="J277" i="1" s="1"/>
  <c r="U278" i="1"/>
  <c r="J278" i="1" s="1"/>
  <c r="U279" i="1"/>
  <c r="J279" i="1" s="1"/>
  <c r="P279" i="1" s="1"/>
  <c r="U280" i="1"/>
  <c r="J280" i="1" s="1"/>
  <c r="P280" i="1" s="1"/>
  <c r="U281" i="1"/>
  <c r="J281" i="1" s="1"/>
  <c r="U282" i="1"/>
  <c r="J282" i="1" s="1"/>
  <c r="P282" i="1" s="1"/>
  <c r="U283" i="1"/>
  <c r="J283" i="1" s="1"/>
  <c r="P283" i="1" s="1"/>
  <c r="U284" i="1"/>
  <c r="J284" i="1" s="1"/>
  <c r="U285" i="1"/>
  <c r="J285" i="1" s="1"/>
  <c r="U286" i="1"/>
  <c r="J286" i="1" s="1"/>
  <c r="P286" i="1" s="1"/>
  <c r="U287" i="1"/>
  <c r="J287" i="1" s="1"/>
  <c r="U288" i="1"/>
  <c r="J288" i="1" s="1"/>
  <c r="K288" i="1" s="1"/>
  <c r="U289" i="1"/>
  <c r="J289" i="1" s="1"/>
  <c r="K289" i="1" s="1"/>
  <c r="U290" i="1"/>
  <c r="J290" i="1" s="1"/>
  <c r="U291" i="1"/>
  <c r="J291" i="1" s="1"/>
  <c r="P291" i="1" s="1"/>
  <c r="U292" i="1"/>
  <c r="J292" i="1" s="1"/>
  <c r="P292" i="1" s="1"/>
  <c r="U293" i="1"/>
  <c r="J293" i="1" s="1"/>
  <c r="U294" i="1"/>
  <c r="J294" i="1" s="1"/>
  <c r="U295" i="1"/>
  <c r="J295" i="1" s="1"/>
  <c r="P295" i="1" s="1"/>
  <c r="U296" i="1"/>
  <c r="J296" i="1" s="1"/>
  <c r="P296" i="1" s="1"/>
  <c r="U297" i="1"/>
  <c r="J297" i="1" s="1"/>
  <c r="P297" i="1" s="1"/>
  <c r="U298" i="1"/>
  <c r="J298" i="1" s="1"/>
  <c r="P298" i="1" s="1"/>
  <c r="U299" i="1"/>
  <c r="J299" i="1" s="1"/>
  <c r="P299" i="1" s="1"/>
  <c r="U300" i="1"/>
  <c r="J300" i="1" s="1"/>
  <c r="U301" i="1"/>
  <c r="J301" i="1" s="1"/>
  <c r="P301" i="1" s="1"/>
  <c r="U302" i="1"/>
  <c r="J302" i="1" s="1"/>
  <c r="P302" i="1" s="1"/>
  <c r="U303" i="1"/>
  <c r="J303" i="1" s="1"/>
  <c r="P303" i="1" s="1"/>
  <c r="U304" i="1"/>
  <c r="J304" i="1" s="1"/>
  <c r="U305" i="1"/>
  <c r="J305" i="1" s="1"/>
  <c r="K305" i="1" s="1"/>
  <c r="U306" i="1"/>
  <c r="J306" i="1" s="1"/>
  <c r="U307" i="1"/>
  <c r="J307" i="1" s="1"/>
  <c r="U308" i="1"/>
  <c r="J308" i="1" s="1"/>
  <c r="P308" i="1" s="1"/>
  <c r="U309" i="1"/>
  <c r="J309" i="1" s="1"/>
  <c r="K309" i="1" s="1"/>
  <c r="U310" i="1"/>
  <c r="J310" i="1" s="1"/>
  <c r="K310" i="1" s="1"/>
  <c r="U311" i="1"/>
  <c r="J311" i="1" s="1"/>
  <c r="K311" i="1" s="1"/>
  <c r="U312" i="1"/>
  <c r="J312" i="1" s="1"/>
  <c r="U313" i="1"/>
  <c r="J313" i="1" s="1"/>
  <c r="P313" i="1" s="1"/>
  <c r="U314" i="1"/>
  <c r="J314" i="1" s="1"/>
  <c r="K314" i="1" s="1"/>
  <c r="U315" i="1"/>
  <c r="J315" i="1" s="1"/>
  <c r="P315" i="1" s="1"/>
  <c r="U316" i="1"/>
  <c r="J316" i="1" s="1"/>
  <c r="U317" i="1"/>
  <c r="J317" i="1" s="1"/>
  <c r="P317" i="1" s="1"/>
  <c r="U318" i="1"/>
  <c r="J318" i="1" s="1"/>
  <c r="P318" i="1" s="1"/>
  <c r="U319" i="1"/>
  <c r="J319" i="1" s="1"/>
  <c r="P319" i="1" s="1"/>
  <c r="U320" i="1"/>
  <c r="J320" i="1" s="1"/>
  <c r="P320" i="1" s="1"/>
  <c r="U321" i="1"/>
  <c r="J321" i="1" s="1"/>
  <c r="U322" i="1"/>
  <c r="J322" i="1" s="1"/>
  <c r="P322" i="1" s="1"/>
  <c r="U323" i="1"/>
  <c r="J323" i="1" s="1"/>
  <c r="P323" i="1" s="1"/>
  <c r="U324" i="1"/>
  <c r="J324" i="1" s="1"/>
  <c r="U325" i="1"/>
  <c r="J325" i="1" s="1"/>
  <c r="P325" i="1" s="1"/>
  <c r="U326" i="1"/>
  <c r="J326" i="1" s="1"/>
  <c r="K326" i="1" s="1"/>
  <c r="U327" i="1"/>
  <c r="J327" i="1" s="1"/>
  <c r="U328" i="1"/>
  <c r="J328" i="1" s="1"/>
  <c r="U329" i="1"/>
  <c r="J329" i="1" s="1"/>
  <c r="U330" i="1"/>
  <c r="J330" i="1" s="1"/>
  <c r="P330" i="1" s="1"/>
  <c r="U331" i="1"/>
  <c r="J331" i="1" s="1"/>
  <c r="U332" i="1"/>
  <c r="J332" i="1" s="1"/>
  <c r="K332" i="1" s="1"/>
  <c r="U333" i="1"/>
  <c r="J333" i="1" s="1"/>
  <c r="K333" i="1" s="1"/>
  <c r="U334" i="1"/>
  <c r="J334" i="1" s="1"/>
  <c r="U335" i="1"/>
  <c r="J335" i="1" s="1"/>
  <c r="U336" i="1"/>
  <c r="J336" i="1" s="1"/>
  <c r="U337" i="1"/>
  <c r="J337" i="1" s="1"/>
  <c r="P337" i="1" s="1"/>
  <c r="U338" i="1"/>
  <c r="J338" i="1" s="1"/>
  <c r="P338" i="1" s="1"/>
  <c r="U339" i="1"/>
  <c r="J339" i="1" s="1"/>
  <c r="P339" i="1" s="1"/>
  <c r="U340" i="1"/>
  <c r="J340" i="1" s="1"/>
  <c r="P340" i="1" s="1"/>
  <c r="U341" i="1"/>
  <c r="J341" i="1" s="1"/>
  <c r="U342" i="1"/>
  <c r="J342" i="1" s="1"/>
  <c r="P342" i="1" s="1"/>
  <c r="U343" i="1"/>
  <c r="J343" i="1" s="1"/>
  <c r="U344" i="1"/>
  <c r="J344" i="1" s="1"/>
  <c r="U345" i="1"/>
  <c r="J345" i="1" s="1"/>
  <c r="K345" i="1" s="1"/>
  <c r="U346" i="1"/>
  <c r="J346" i="1" s="1"/>
  <c r="U347" i="1"/>
  <c r="J347" i="1" s="1"/>
  <c r="P347" i="1" s="1"/>
  <c r="U348" i="1"/>
  <c r="J348" i="1" s="1"/>
  <c r="U349" i="1"/>
  <c r="J349" i="1" s="1"/>
  <c r="K349" i="1" s="1"/>
  <c r="U350" i="1"/>
  <c r="J350" i="1" s="1"/>
  <c r="U351" i="1"/>
  <c r="J351" i="1" s="1"/>
  <c r="K351" i="1" s="1"/>
  <c r="U352" i="1"/>
  <c r="J352" i="1" s="1"/>
  <c r="U353" i="1"/>
  <c r="J353" i="1" s="1"/>
  <c r="U354" i="1"/>
  <c r="J354" i="1" s="1"/>
  <c r="K354" i="1" s="1"/>
  <c r="U355" i="1"/>
  <c r="J355" i="1" s="1"/>
  <c r="U356" i="1"/>
  <c r="J356" i="1" s="1"/>
  <c r="P356" i="1" s="1"/>
  <c r="U357" i="1"/>
  <c r="J357" i="1" s="1"/>
  <c r="K357" i="1" s="1"/>
  <c r="U358" i="1"/>
  <c r="J358" i="1" s="1"/>
  <c r="P358" i="1" s="1"/>
  <c r="U359" i="1"/>
  <c r="J359" i="1" s="1"/>
  <c r="K359" i="1" s="1"/>
  <c r="U360" i="1"/>
  <c r="J360" i="1" s="1"/>
  <c r="P360" i="1" s="1"/>
  <c r="U361" i="1"/>
  <c r="J361" i="1" s="1"/>
  <c r="U362" i="1"/>
  <c r="J362" i="1" s="1"/>
  <c r="K362" i="1" s="1"/>
  <c r="U363" i="1"/>
  <c r="J363" i="1" s="1"/>
  <c r="P363" i="1" s="1"/>
  <c r="U364" i="1"/>
  <c r="J364" i="1" s="1"/>
  <c r="U365" i="1"/>
  <c r="J365" i="1" s="1"/>
  <c r="U366" i="1"/>
  <c r="J366" i="1" s="1"/>
  <c r="U367" i="1"/>
  <c r="J367" i="1" s="1"/>
  <c r="P367" i="1" s="1"/>
  <c r="U368" i="1"/>
  <c r="J368" i="1" s="1"/>
  <c r="P368" i="1" s="1"/>
  <c r="U369" i="1"/>
  <c r="J369" i="1" s="1"/>
  <c r="P369" i="1" s="1"/>
  <c r="U370" i="1"/>
  <c r="J370" i="1" s="1"/>
  <c r="P370" i="1" s="1"/>
  <c r="U371" i="1"/>
  <c r="J371" i="1" s="1"/>
  <c r="P371" i="1" s="1"/>
  <c r="U372" i="1"/>
  <c r="J372" i="1" s="1"/>
  <c r="P372" i="1" s="1"/>
  <c r="U373" i="1"/>
  <c r="J373" i="1" s="1"/>
  <c r="P373" i="1" s="1"/>
  <c r="U374" i="1"/>
  <c r="J374" i="1" s="1"/>
  <c r="P374" i="1" s="1"/>
  <c r="U375" i="1"/>
  <c r="J375" i="1" s="1"/>
  <c r="U376" i="1"/>
  <c r="J376" i="1" s="1"/>
  <c r="U377" i="1"/>
  <c r="U378" i="1"/>
  <c r="J378" i="1" s="1"/>
  <c r="K378" i="1" s="1"/>
  <c r="U379" i="1"/>
  <c r="J379" i="1" s="1"/>
  <c r="U380" i="1"/>
  <c r="J380" i="1" s="1"/>
  <c r="O380" i="1" s="1"/>
  <c r="U381" i="1"/>
  <c r="J381" i="1" s="1"/>
  <c r="U382" i="1"/>
  <c r="J382" i="1" s="1"/>
  <c r="U383" i="1"/>
  <c r="J383" i="1" s="1"/>
  <c r="U384" i="1"/>
  <c r="J384" i="1" s="1"/>
  <c r="U385" i="1"/>
  <c r="J385" i="1" s="1"/>
  <c r="K385" i="1" s="1"/>
  <c r="U386" i="1"/>
  <c r="J386" i="1" s="1"/>
  <c r="U387" i="1"/>
  <c r="J387" i="1" s="1"/>
  <c r="U388" i="1"/>
  <c r="J388" i="1" s="1"/>
  <c r="K388" i="1" s="1"/>
  <c r="U389" i="1"/>
  <c r="J389" i="1" s="1"/>
  <c r="P389" i="1" s="1"/>
  <c r="U390" i="1"/>
  <c r="J390" i="1" s="1"/>
  <c r="O390" i="1" s="1"/>
  <c r="U391" i="1"/>
  <c r="J391" i="1" s="1"/>
  <c r="U392" i="1"/>
  <c r="J392" i="1" s="1"/>
  <c r="U393" i="1"/>
  <c r="J393" i="1" s="1"/>
  <c r="O393" i="1" s="1"/>
  <c r="U394" i="1"/>
  <c r="J394" i="1" s="1"/>
  <c r="P394" i="1" s="1"/>
  <c r="U395" i="1"/>
  <c r="J395" i="1" s="1"/>
  <c r="P395" i="1" s="1"/>
  <c r="U396" i="1"/>
  <c r="J396" i="1" s="1"/>
  <c r="P396" i="1" s="1"/>
  <c r="U397" i="1"/>
  <c r="J397" i="1" s="1"/>
  <c r="U398" i="1"/>
  <c r="J398" i="1" s="1"/>
  <c r="U399" i="1"/>
  <c r="J399" i="1" s="1"/>
  <c r="P399" i="1" s="1"/>
  <c r="U400" i="1"/>
  <c r="J400" i="1" s="1"/>
  <c r="U401" i="1"/>
  <c r="J401" i="1" s="1"/>
  <c r="K401" i="1" s="1"/>
  <c r="U402" i="1"/>
  <c r="J402" i="1" s="1"/>
  <c r="U403" i="1"/>
  <c r="J403" i="1" s="1"/>
  <c r="U404" i="1"/>
  <c r="J404" i="1" s="1"/>
  <c r="K404" i="1" s="1"/>
  <c r="U405" i="1"/>
  <c r="J405" i="1" s="1"/>
  <c r="U406" i="1"/>
  <c r="J406" i="1" s="1"/>
  <c r="K406" i="1" s="1"/>
  <c r="U407" i="1"/>
  <c r="J407" i="1" s="1"/>
  <c r="U408" i="1"/>
  <c r="J408" i="1" s="1"/>
  <c r="U409" i="1"/>
  <c r="J409" i="1" s="1"/>
  <c r="U410" i="1"/>
  <c r="J410" i="1" s="1"/>
  <c r="U411" i="1"/>
  <c r="J411" i="1" s="1"/>
  <c r="U412" i="1"/>
  <c r="J412" i="1" s="1"/>
  <c r="U413" i="1"/>
  <c r="J413" i="1" s="1"/>
  <c r="U414" i="1"/>
  <c r="J414" i="1" s="1"/>
  <c r="U415" i="1"/>
  <c r="J415" i="1" s="1"/>
  <c r="U416" i="1"/>
  <c r="J416" i="1" s="1"/>
  <c r="U417" i="1"/>
  <c r="J417" i="1" s="1"/>
  <c r="U418" i="1"/>
  <c r="J418" i="1" s="1"/>
  <c r="U419" i="1"/>
  <c r="J419" i="1" s="1"/>
  <c r="U420" i="1"/>
  <c r="J420" i="1" s="1"/>
  <c r="U421" i="1"/>
  <c r="J421" i="1" s="1"/>
  <c r="U422" i="1"/>
  <c r="J422" i="1" s="1"/>
  <c r="U423" i="1"/>
  <c r="J423" i="1" s="1"/>
  <c r="U424" i="1"/>
  <c r="J424" i="1" s="1"/>
  <c r="P424" i="1" s="1"/>
  <c r="U425" i="1"/>
  <c r="J425" i="1" s="1"/>
  <c r="U426" i="1"/>
  <c r="J426" i="1" s="1"/>
  <c r="K426" i="1" s="1"/>
  <c r="U427" i="1"/>
  <c r="J427" i="1" s="1"/>
  <c r="P427" i="1" s="1"/>
  <c r="U428" i="1"/>
  <c r="J428" i="1" s="1"/>
  <c r="U429" i="1"/>
  <c r="J429" i="1" s="1"/>
  <c r="U430" i="1"/>
  <c r="J430" i="1" s="1"/>
  <c r="K430" i="1" s="1"/>
  <c r="U431" i="1"/>
  <c r="J431" i="1" s="1"/>
  <c r="K431" i="1" s="1"/>
  <c r="U432" i="1"/>
  <c r="J432" i="1" s="1"/>
  <c r="P432" i="1" s="1"/>
  <c r="U433" i="1"/>
  <c r="J433" i="1" s="1"/>
  <c r="P433" i="1" s="1"/>
  <c r="U434" i="1"/>
  <c r="J434" i="1" s="1"/>
  <c r="U435" i="1"/>
  <c r="J435" i="1" s="1"/>
  <c r="U436" i="1"/>
  <c r="J436" i="1" s="1"/>
  <c r="U437" i="1"/>
  <c r="J437" i="1" s="1"/>
  <c r="U438" i="1"/>
  <c r="J438" i="1" s="1"/>
  <c r="U439" i="1"/>
  <c r="J439" i="1" s="1"/>
  <c r="U440" i="1"/>
  <c r="J440" i="1" s="1"/>
  <c r="K440" i="1" s="1"/>
  <c r="U441" i="1"/>
  <c r="J441" i="1" s="1"/>
  <c r="U442" i="1"/>
  <c r="J442" i="1" s="1"/>
  <c r="U443" i="1"/>
  <c r="J443" i="1" s="1"/>
  <c r="U444" i="1"/>
  <c r="J444" i="1" s="1"/>
  <c r="K444" i="1" s="1"/>
  <c r="U445" i="1"/>
  <c r="J445" i="1" s="1"/>
  <c r="U446" i="1"/>
  <c r="J446" i="1" s="1"/>
  <c r="K446" i="1" s="1"/>
  <c r="U447" i="1"/>
  <c r="J447" i="1" s="1"/>
  <c r="U448" i="1"/>
  <c r="J448" i="1" s="1"/>
  <c r="U449" i="1"/>
  <c r="J449" i="1" s="1"/>
  <c r="U450" i="1"/>
  <c r="J450" i="1" s="1"/>
  <c r="P450" i="1" s="1"/>
  <c r="U451" i="1"/>
  <c r="J451" i="1" s="1"/>
  <c r="P451" i="1" s="1"/>
  <c r="U452" i="1"/>
  <c r="J452" i="1" s="1"/>
  <c r="U453" i="1"/>
  <c r="J453" i="1" s="1"/>
  <c r="K453" i="1" s="1"/>
  <c r="U454" i="1"/>
  <c r="J454" i="1" s="1"/>
  <c r="U455" i="1"/>
  <c r="J455" i="1" s="1"/>
  <c r="P455" i="1" s="1"/>
  <c r="U456" i="1"/>
  <c r="J456" i="1" s="1"/>
  <c r="U457" i="1"/>
  <c r="J457" i="1" s="1"/>
  <c r="K457" i="1" s="1"/>
  <c r="U458" i="1"/>
  <c r="J458" i="1" s="1"/>
  <c r="K458" i="1" s="1"/>
  <c r="U459" i="1"/>
  <c r="J459" i="1" s="1"/>
  <c r="K459" i="1" s="1"/>
  <c r="U460" i="1"/>
  <c r="J460" i="1" s="1"/>
  <c r="K460" i="1" s="1"/>
  <c r="U461" i="1"/>
  <c r="J461" i="1" s="1"/>
  <c r="U462" i="1"/>
  <c r="J462" i="1" s="1"/>
  <c r="U463" i="1"/>
  <c r="J463" i="1" s="1"/>
  <c r="U464" i="1"/>
  <c r="J464" i="1" s="1"/>
  <c r="U465" i="1"/>
  <c r="J465" i="1" s="1"/>
  <c r="U466" i="1"/>
  <c r="J466" i="1" s="1"/>
  <c r="K466" i="1" s="1"/>
  <c r="U467" i="1"/>
  <c r="J467" i="1" s="1"/>
  <c r="U468" i="1"/>
  <c r="J468" i="1" s="1"/>
  <c r="K468" i="1" s="1"/>
  <c r="U469" i="1"/>
  <c r="J469" i="1" s="1"/>
  <c r="U470" i="1"/>
  <c r="J470" i="1" s="1"/>
  <c r="U471" i="1"/>
  <c r="J471" i="1" s="1"/>
  <c r="K471" i="1" s="1"/>
  <c r="U472" i="1"/>
  <c r="J472" i="1" s="1"/>
  <c r="P472" i="1" s="1"/>
  <c r="U473" i="1"/>
  <c r="J473" i="1" s="1"/>
  <c r="U474" i="1"/>
  <c r="J474" i="1" s="1"/>
  <c r="U475" i="1"/>
  <c r="J475" i="1" s="1"/>
  <c r="K475" i="1" s="1"/>
  <c r="U476" i="1"/>
  <c r="J476" i="1" s="1"/>
  <c r="K476" i="1" s="1"/>
  <c r="U477" i="1"/>
  <c r="J477" i="1" s="1"/>
  <c r="U478" i="1"/>
  <c r="J478" i="1" s="1"/>
  <c r="K478" i="1" s="1"/>
  <c r="U479" i="1"/>
  <c r="J479" i="1" s="1"/>
  <c r="K479" i="1" s="1"/>
  <c r="U480" i="1"/>
  <c r="J480" i="1" s="1"/>
  <c r="K480" i="1" s="1"/>
  <c r="U481" i="1"/>
  <c r="J481" i="1" s="1"/>
  <c r="K481" i="1" s="1"/>
  <c r="U482" i="1"/>
  <c r="J482" i="1" s="1"/>
  <c r="K482" i="1" s="1"/>
  <c r="U483" i="1"/>
  <c r="J483" i="1" s="1"/>
  <c r="K483" i="1" s="1"/>
  <c r="U484" i="1"/>
  <c r="J484" i="1" s="1"/>
  <c r="O484" i="1" s="1"/>
  <c r="U485" i="1"/>
  <c r="J485" i="1" s="1"/>
  <c r="K485" i="1" s="1"/>
  <c r="U486" i="1"/>
  <c r="J486" i="1" s="1"/>
  <c r="K486" i="1" s="1"/>
  <c r="U487" i="1"/>
  <c r="J487" i="1" s="1"/>
  <c r="K487" i="1" s="1"/>
  <c r="U488" i="1"/>
  <c r="J488" i="1" s="1"/>
  <c r="K488" i="1" s="1"/>
  <c r="U489" i="1"/>
  <c r="J489" i="1" s="1"/>
  <c r="K489" i="1" s="1"/>
  <c r="U490" i="1"/>
  <c r="J490" i="1" s="1"/>
  <c r="K490" i="1" s="1"/>
  <c r="U491" i="1"/>
  <c r="J491" i="1" s="1"/>
  <c r="K491" i="1" s="1"/>
  <c r="U492" i="1"/>
  <c r="J492" i="1" s="1"/>
  <c r="K492" i="1" s="1"/>
  <c r="U493" i="1"/>
  <c r="J493" i="1" s="1"/>
  <c r="K493" i="1" s="1"/>
  <c r="U494" i="1"/>
  <c r="J494" i="1" s="1"/>
  <c r="U495" i="1"/>
  <c r="J495" i="1" s="1"/>
  <c r="K495" i="1" s="1"/>
  <c r="U496" i="1"/>
  <c r="J496" i="1" s="1"/>
  <c r="K496" i="1" s="1"/>
  <c r="U497" i="1"/>
  <c r="J497" i="1" s="1"/>
  <c r="K497" i="1" s="1"/>
  <c r="U498" i="1"/>
  <c r="J498" i="1" s="1"/>
  <c r="K498" i="1" s="1"/>
  <c r="U499" i="1"/>
  <c r="J499" i="1" s="1"/>
  <c r="K499" i="1" s="1"/>
  <c r="U500" i="1"/>
  <c r="J500" i="1" s="1"/>
  <c r="U501" i="1"/>
  <c r="J501" i="1" s="1"/>
  <c r="K501" i="1" s="1"/>
  <c r="U502" i="1"/>
  <c r="J502" i="1" s="1"/>
  <c r="K502" i="1" s="1"/>
  <c r="U503" i="1"/>
  <c r="J503" i="1" s="1"/>
  <c r="U504" i="1"/>
  <c r="J504" i="1" s="1"/>
  <c r="K504" i="1" s="1"/>
  <c r="U505" i="1"/>
  <c r="J505" i="1" s="1"/>
  <c r="K505" i="1" s="1"/>
  <c r="U506" i="1"/>
  <c r="J506" i="1" s="1"/>
  <c r="K506" i="1" s="1"/>
  <c r="U507" i="1"/>
  <c r="J507" i="1" s="1"/>
  <c r="U508" i="1"/>
  <c r="J508" i="1" s="1"/>
  <c r="K508" i="1" s="1"/>
  <c r="U509" i="1"/>
  <c r="J509" i="1" s="1"/>
  <c r="K509" i="1" s="1"/>
  <c r="U510" i="1"/>
  <c r="J510" i="1" s="1"/>
  <c r="K510" i="1" s="1"/>
  <c r="U511" i="1"/>
  <c r="J511" i="1" s="1"/>
  <c r="U512" i="1"/>
  <c r="J512" i="1" s="1"/>
  <c r="K512" i="1" s="1"/>
  <c r="U513" i="1"/>
  <c r="J513" i="1" s="1"/>
  <c r="K513" i="1" s="1"/>
  <c r="U514" i="1"/>
  <c r="J514" i="1" s="1"/>
  <c r="U5" i="1"/>
  <c r="U6" i="1"/>
  <c r="J6" i="1" s="1"/>
  <c r="U7" i="1"/>
  <c r="U8" i="1"/>
  <c r="J8" i="1" s="1"/>
  <c r="U9" i="1"/>
  <c r="J9" i="1" s="1"/>
  <c r="U10" i="1"/>
  <c r="J10" i="1" s="1"/>
  <c r="U11" i="1"/>
  <c r="J11" i="1" s="1"/>
  <c r="U12" i="1"/>
  <c r="J12" i="1" s="1"/>
  <c r="P12" i="1" s="1"/>
  <c r="U13" i="1"/>
  <c r="J13" i="1" s="1"/>
  <c r="P13" i="1" s="1"/>
  <c r="U14" i="1"/>
  <c r="J14" i="1" s="1"/>
  <c r="U15" i="1"/>
  <c r="J15" i="1" s="1"/>
  <c r="P15" i="1" s="1"/>
  <c r="U16" i="1"/>
  <c r="J16" i="1" s="1"/>
  <c r="U17" i="1"/>
  <c r="J17" i="1" s="1"/>
  <c r="U18" i="1"/>
  <c r="J18" i="1" s="1"/>
  <c r="U19" i="1"/>
  <c r="J19" i="1" s="1"/>
  <c r="U20" i="1"/>
  <c r="J20" i="1" s="1"/>
  <c r="U21" i="1"/>
  <c r="J21" i="1" s="1"/>
  <c r="U22" i="1"/>
  <c r="J22" i="1" s="1"/>
  <c r="U23" i="1"/>
  <c r="J23" i="1" s="1"/>
  <c r="U24" i="1"/>
  <c r="J24" i="1" s="1"/>
  <c r="U25" i="1"/>
  <c r="J25" i="1" s="1"/>
  <c r="U26" i="1"/>
  <c r="J26" i="1" s="1"/>
  <c r="U27" i="1"/>
  <c r="J27" i="1" s="1"/>
  <c r="U28" i="1"/>
  <c r="J28" i="1" s="1"/>
  <c r="U29" i="1"/>
  <c r="J29" i="1" s="1"/>
  <c r="U30" i="1"/>
  <c r="J30" i="1" s="1"/>
  <c r="U31" i="1"/>
  <c r="J31" i="1" s="1"/>
  <c r="U32" i="1"/>
  <c r="J32" i="1" s="1"/>
  <c r="U33" i="1"/>
  <c r="J33" i="1" s="1"/>
  <c r="U34" i="1"/>
  <c r="J34" i="1" s="1"/>
  <c r="U35" i="1"/>
  <c r="J35" i="1" s="1"/>
  <c r="K35" i="1" s="1"/>
  <c r="U36" i="1"/>
  <c r="J36" i="1" s="1"/>
  <c r="U37" i="1"/>
  <c r="J37" i="1" s="1"/>
  <c r="U38" i="1"/>
  <c r="J38" i="1" s="1"/>
  <c r="U39" i="1"/>
  <c r="J39" i="1" s="1"/>
  <c r="U40" i="1"/>
  <c r="J40" i="1" s="1"/>
  <c r="U41" i="1"/>
  <c r="J41" i="1" s="1"/>
  <c r="U42" i="1"/>
  <c r="J42" i="1" s="1"/>
  <c r="U43" i="1"/>
  <c r="J43" i="1" s="1"/>
  <c r="U44" i="1"/>
  <c r="J44" i="1" s="1"/>
  <c r="U45" i="1"/>
  <c r="J45" i="1" s="1"/>
  <c r="U46" i="1"/>
  <c r="J46" i="1" s="1"/>
  <c r="U47" i="1"/>
  <c r="J47" i="1" s="1"/>
  <c r="U48" i="1"/>
  <c r="J48" i="1" s="1"/>
  <c r="U49" i="1"/>
  <c r="J49" i="1" s="1"/>
  <c r="P49" i="1" s="1"/>
  <c r="U50" i="1"/>
  <c r="J50" i="1" s="1"/>
  <c r="P50" i="1" s="1"/>
  <c r="U51" i="1"/>
  <c r="J51" i="1" s="1"/>
  <c r="P51" i="1" s="1"/>
  <c r="U52" i="1"/>
  <c r="J52" i="1" s="1"/>
  <c r="P52" i="1" s="1"/>
  <c r="U53" i="1"/>
  <c r="J53" i="1" s="1"/>
  <c r="P53" i="1" s="1"/>
  <c r="U54" i="1"/>
  <c r="J54" i="1" s="1"/>
  <c r="P54" i="1" s="1"/>
  <c r="U55" i="1"/>
  <c r="J55" i="1" s="1"/>
  <c r="P55" i="1" s="1"/>
  <c r="U56" i="1"/>
  <c r="J56" i="1" s="1"/>
  <c r="P56" i="1" s="1"/>
  <c r="U57" i="1"/>
  <c r="J57" i="1" s="1"/>
  <c r="P57" i="1" s="1"/>
  <c r="U58" i="1"/>
  <c r="J58" i="1" s="1"/>
  <c r="P58" i="1" s="1"/>
  <c r="U59" i="1"/>
  <c r="J59" i="1" s="1"/>
  <c r="P59" i="1" s="1"/>
  <c r="U60" i="1"/>
  <c r="J60" i="1" s="1"/>
  <c r="P60" i="1" s="1"/>
  <c r="U61" i="1"/>
  <c r="J61" i="1" s="1"/>
  <c r="K61" i="1" s="1"/>
  <c r="U62" i="1"/>
  <c r="J62" i="1" s="1"/>
  <c r="K62" i="1" s="1"/>
  <c r="U63" i="1"/>
  <c r="J63" i="1" s="1"/>
  <c r="K63" i="1" s="1"/>
  <c r="U64" i="1"/>
  <c r="J64" i="1" s="1"/>
  <c r="K64" i="1" s="1"/>
  <c r="U65" i="1"/>
  <c r="J65" i="1" s="1"/>
  <c r="K65" i="1" s="1"/>
  <c r="U66" i="1"/>
  <c r="J66" i="1" s="1"/>
  <c r="K66" i="1" s="1"/>
  <c r="U67" i="1"/>
  <c r="J67" i="1" s="1"/>
  <c r="P67" i="1" s="1"/>
  <c r="U68" i="1"/>
  <c r="J68" i="1" s="1"/>
  <c r="O68" i="1" s="1"/>
  <c r="U69" i="1"/>
  <c r="J69" i="1" s="1"/>
  <c r="U70" i="1"/>
  <c r="J70" i="1" s="1"/>
  <c r="U71" i="1"/>
  <c r="J71" i="1" s="1"/>
  <c r="U72" i="1"/>
  <c r="J72" i="1" s="1"/>
  <c r="O72" i="1" s="1"/>
  <c r="U73" i="1"/>
  <c r="J73" i="1" s="1"/>
  <c r="U74" i="1"/>
  <c r="J74" i="1" s="1"/>
  <c r="O74" i="1" s="1"/>
  <c r="U75" i="1"/>
  <c r="J75" i="1" s="1"/>
  <c r="U76" i="1"/>
  <c r="J76" i="1" s="1"/>
  <c r="U77" i="1"/>
  <c r="J77" i="1" s="1"/>
  <c r="U78" i="1"/>
  <c r="J78" i="1" s="1"/>
  <c r="U79" i="1"/>
  <c r="J79" i="1" s="1"/>
  <c r="U80" i="1"/>
  <c r="J80" i="1" s="1"/>
  <c r="U81" i="1"/>
  <c r="J81" i="1" s="1"/>
  <c r="U82" i="1"/>
  <c r="J82" i="1" s="1"/>
  <c r="U83" i="1"/>
  <c r="J83" i="1" s="1"/>
  <c r="U84" i="1"/>
  <c r="J84" i="1" s="1"/>
  <c r="U85" i="1"/>
  <c r="J85" i="1" s="1"/>
  <c r="O85" i="1" s="1"/>
  <c r="U86" i="1"/>
  <c r="J86" i="1" s="1"/>
  <c r="U87" i="1"/>
  <c r="J87" i="1" s="1"/>
  <c r="U88" i="1"/>
  <c r="J88" i="1" s="1"/>
  <c r="U89" i="1"/>
  <c r="J89" i="1" s="1"/>
  <c r="U90" i="1"/>
  <c r="J90" i="1" s="1"/>
  <c r="U91" i="1"/>
  <c r="J91" i="1" s="1"/>
  <c r="U92" i="1"/>
  <c r="J92" i="1" s="1"/>
  <c r="U93" i="1"/>
  <c r="J93" i="1" s="1"/>
  <c r="U94" i="1"/>
  <c r="J94" i="1" s="1"/>
  <c r="U95" i="1"/>
  <c r="J95" i="1" s="1"/>
  <c r="U96" i="1"/>
  <c r="J96" i="1" s="1"/>
  <c r="U97" i="1"/>
  <c r="J97" i="1" s="1"/>
  <c r="K97" i="1" s="1"/>
  <c r="U98" i="1"/>
  <c r="J98" i="1" s="1"/>
  <c r="U99" i="1"/>
  <c r="J99" i="1" s="1"/>
  <c r="U100" i="1"/>
  <c r="J100" i="1" s="1"/>
  <c r="U101" i="1"/>
  <c r="J101" i="1" s="1"/>
  <c r="U102" i="1"/>
  <c r="J102" i="1" s="1"/>
  <c r="U103" i="1"/>
  <c r="J103" i="1" s="1"/>
  <c r="U104" i="1"/>
  <c r="J104" i="1" s="1"/>
  <c r="U105" i="1"/>
  <c r="J105" i="1" s="1"/>
  <c r="K105" i="1" s="1"/>
  <c r="U106" i="1"/>
  <c r="J106" i="1" s="1"/>
  <c r="K106" i="1" s="1"/>
  <c r="U107" i="1"/>
  <c r="J107" i="1" s="1"/>
  <c r="P107" i="1" s="1"/>
  <c r="U108" i="1"/>
  <c r="J108" i="1" s="1"/>
  <c r="U109" i="1"/>
  <c r="J109" i="1" s="1"/>
  <c r="U110" i="1"/>
  <c r="J110" i="1" s="1"/>
  <c r="P110" i="1" s="1"/>
  <c r="U111" i="1"/>
  <c r="J111" i="1" s="1"/>
  <c r="U112" i="1"/>
  <c r="J112" i="1" s="1"/>
  <c r="P112" i="1" s="1"/>
  <c r="U113" i="1"/>
  <c r="J113" i="1" s="1"/>
  <c r="K113" i="1" s="1"/>
  <c r="U114" i="1"/>
  <c r="J114" i="1" s="1"/>
  <c r="U115" i="1"/>
  <c r="J115" i="1" s="1"/>
  <c r="P115" i="1" s="1"/>
  <c r="U116" i="1"/>
  <c r="J116" i="1" s="1"/>
  <c r="K116" i="1" s="1"/>
  <c r="U117" i="1"/>
  <c r="J117" i="1" s="1"/>
  <c r="O117" i="1" s="1"/>
  <c r="U118" i="1"/>
  <c r="J118" i="1" s="1"/>
  <c r="U119" i="1"/>
  <c r="J119" i="1" s="1"/>
  <c r="U120" i="1"/>
  <c r="J120" i="1" s="1"/>
  <c r="P120" i="1" s="1"/>
  <c r="U121" i="1"/>
  <c r="J121" i="1" s="1"/>
  <c r="P121" i="1" s="1"/>
  <c r="U122" i="1"/>
  <c r="J122" i="1" s="1"/>
  <c r="O122" i="1" s="1"/>
  <c r="U123" i="1"/>
  <c r="J123" i="1" s="1"/>
  <c r="P123" i="1" s="1"/>
  <c r="U124" i="1"/>
  <c r="J124" i="1" s="1"/>
  <c r="O124" i="1" s="1"/>
  <c r="U125" i="1"/>
  <c r="J125" i="1" s="1"/>
  <c r="O125" i="1" s="1"/>
  <c r="U126" i="1"/>
  <c r="J126" i="1" s="1"/>
  <c r="U127" i="1"/>
  <c r="J127" i="1" s="1"/>
  <c r="U128" i="1"/>
  <c r="J128" i="1" s="1"/>
  <c r="U129" i="1"/>
  <c r="J129" i="1" s="1"/>
  <c r="P129" i="1" s="1"/>
  <c r="U130" i="1"/>
  <c r="J130" i="1" s="1"/>
  <c r="U131" i="1"/>
  <c r="J131" i="1" s="1"/>
  <c r="U132" i="1"/>
  <c r="J132" i="1" s="1"/>
  <c r="K132" i="1" s="1"/>
  <c r="U133" i="1"/>
  <c r="J133" i="1" s="1"/>
  <c r="U134" i="1"/>
  <c r="J134" i="1" s="1"/>
  <c r="P134" i="1" s="1"/>
  <c r="U135" i="1"/>
  <c r="J135" i="1" s="1"/>
  <c r="U136" i="1"/>
  <c r="J136" i="1" s="1"/>
  <c r="U137" i="1"/>
  <c r="U138" i="1"/>
  <c r="J138" i="1" s="1"/>
  <c r="U139" i="1"/>
  <c r="J139" i="1" s="1"/>
  <c r="U140" i="1"/>
  <c r="J140" i="1" s="1"/>
  <c r="P140" i="1" s="1"/>
  <c r="U141" i="1"/>
  <c r="J141" i="1" s="1"/>
  <c r="P141" i="1" s="1"/>
  <c r="U142" i="1"/>
  <c r="J142" i="1" s="1"/>
  <c r="U143" i="1"/>
  <c r="J143" i="1" s="1"/>
  <c r="K143" i="1" s="1"/>
  <c r="U144" i="1"/>
  <c r="J144" i="1" s="1"/>
  <c r="U145" i="1"/>
  <c r="J145" i="1" s="1"/>
  <c r="U146" i="1"/>
  <c r="J146" i="1" s="1"/>
  <c r="U147" i="1"/>
  <c r="J147" i="1" s="1"/>
  <c r="U148" i="1"/>
  <c r="J148" i="1" s="1"/>
  <c r="K148" i="1" s="1"/>
  <c r="U149" i="1"/>
  <c r="J149" i="1" s="1"/>
  <c r="K149" i="1" s="1"/>
  <c r="U150" i="1"/>
  <c r="J150" i="1" s="1"/>
  <c r="O150" i="1" s="1"/>
  <c r="P150" i="1" s="1"/>
  <c r="U151" i="1"/>
  <c r="J151" i="1" s="1"/>
  <c r="O151" i="1" s="1"/>
  <c r="U152" i="1"/>
  <c r="J152" i="1" s="1"/>
  <c r="O152" i="1" s="1"/>
  <c r="U153" i="1"/>
  <c r="J153" i="1" s="1"/>
  <c r="U154" i="1"/>
  <c r="J154" i="1" s="1"/>
  <c r="U155" i="1"/>
  <c r="J155" i="1" s="1"/>
  <c r="U156" i="1"/>
  <c r="J156" i="1" s="1"/>
  <c r="U157" i="1"/>
  <c r="J157" i="1" s="1"/>
  <c r="U158" i="1"/>
  <c r="J158" i="1" s="1"/>
  <c r="U159" i="1"/>
  <c r="J159" i="1" s="1"/>
  <c r="K159" i="1" s="1"/>
  <c r="U160" i="1"/>
  <c r="J160" i="1" s="1"/>
  <c r="O160" i="1" s="1"/>
  <c r="U161" i="1"/>
  <c r="J161" i="1" s="1"/>
  <c r="U162" i="1"/>
  <c r="J162" i="1" s="1"/>
  <c r="O162" i="1" s="1"/>
  <c r="P162" i="1" s="1"/>
  <c r="U163" i="1"/>
  <c r="J163" i="1" s="1"/>
  <c r="K163" i="1" s="1"/>
  <c r="U164" i="1"/>
  <c r="J164" i="1" s="1"/>
  <c r="O164" i="1" s="1"/>
  <c r="U165" i="1"/>
  <c r="J165" i="1" s="1"/>
  <c r="O165" i="1" s="1"/>
  <c r="U166" i="1"/>
  <c r="J166" i="1" s="1"/>
  <c r="K166" i="1" s="1"/>
  <c r="U167" i="1"/>
  <c r="J167" i="1" s="1"/>
  <c r="U168" i="1"/>
  <c r="J168" i="1" s="1"/>
  <c r="O168" i="1" s="1"/>
  <c r="U169" i="1"/>
  <c r="J169" i="1" s="1"/>
  <c r="K169" i="1" s="1"/>
  <c r="U170" i="1"/>
  <c r="J170" i="1" s="1"/>
  <c r="U171" i="1"/>
  <c r="J171" i="1" s="1"/>
  <c r="O171" i="1" s="1"/>
  <c r="P171" i="1" s="1"/>
  <c r="U172" i="1"/>
  <c r="J172" i="1" s="1"/>
  <c r="K172" i="1" s="1"/>
  <c r="U173" i="1"/>
  <c r="J173" i="1" s="1"/>
  <c r="U174" i="1"/>
  <c r="J174" i="1" s="1"/>
  <c r="U175" i="1"/>
  <c r="J175" i="1" s="1"/>
  <c r="K175" i="1" s="1"/>
  <c r="U176" i="1"/>
  <c r="J176" i="1" s="1"/>
  <c r="P176" i="1" s="1"/>
  <c r="U177" i="1"/>
  <c r="J177" i="1" s="1"/>
  <c r="U178" i="1"/>
  <c r="J178" i="1" s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AH3" i="1"/>
  <c r="D250" i="1"/>
  <c r="O136" i="1"/>
  <c r="D177" i="1"/>
  <c r="W3" i="10"/>
  <c r="V3" i="10"/>
  <c r="T3" i="10"/>
  <c r="S3" i="10"/>
  <c r="R3" i="10"/>
  <c r="Q3" i="10"/>
  <c r="N3" i="10"/>
  <c r="Z3" i="1"/>
  <c r="L3" i="1"/>
  <c r="D77" i="1"/>
  <c r="D108" i="1"/>
  <c r="D106" i="1"/>
  <c r="I377" i="1"/>
  <c r="D120" i="1"/>
  <c r="M44" i="1"/>
  <c r="M45" i="1"/>
  <c r="M46" i="1"/>
  <c r="M47" i="1"/>
  <c r="M48" i="1"/>
  <c r="I137" i="1"/>
  <c r="I204" i="1"/>
  <c r="M37" i="1"/>
  <c r="M38" i="1"/>
  <c r="M39" i="1"/>
  <c r="M40" i="1"/>
  <c r="M41" i="1"/>
  <c r="M42" i="1"/>
  <c r="M43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21" i="1"/>
  <c r="Z1" i="10"/>
  <c r="AB1" i="10" s="1"/>
  <c r="AD1" i="10" s="1"/>
  <c r="AF1" i="10" s="1"/>
  <c r="AH1" i="10" s="1"/>
  <c r="AJ1" i="10" s="1"/>
  <c r="AL1" i="10" s="1"/>
  <c r="AO1" i="10" s="1"/>
  <c r="AQ1" i="10" s="1"/>
  <c r="AS1" i="10" s="1"/>
  <c r="AU1" i="10" s="1"/>
  <c r="AW1" i="10" s="1"/>
  <c r="AY1" i="10" s="1"/>
  <c r="BA1" i="10" s="1"/>
  <c r="BC1" i="10" s="1"/>
  <c r="BE1" i="10" s="1"/>
  <c r="BG1" i="10" s="1"/>
  <c r="BI1" i="10" s="1"/>
  <c r="BK1" i="10" s="1"/>
  <c r="BM1" i="10" s="1"/>
  <c r="BO1" i="10" s="1"/>
  <c r="BQ1" i="10" s="1"/>
  <c r="BS1" i="10" s="1"/>
  <c r="BU1" i="10" s="1"/>
  <c r="BW1" i="10" s="1"/>
  <c r="BY1" i="10" s="1"/>
  <c r="CA1" i="10" s="1"/>
  <c r="CC1" i="10" s="1"/>
  <c r="CE1" i="10" s="1"/>
  <c r="CG1" i="10" s="1"/>
  <c r="M20" i="1"/>
  <c r="M18" i="1"/>
  <c r="M19" i="1"/>
  <c r="D147" i="1"/>
  <c r="O31" i="10"/>
  <c r="O30" i="10"/>
  <c r="M17" i="1"/>
  <c r="M4" i="1"/>
  <c r="M8" i="1"/>
  <c r="M7" i="1"/>
  <c r="M9" i="1"/>
  <c r="M10" i="1"/>
  <c r="M11" i="1"/>
  <c r="M12" i="1"/>
  <c r="M13" i="1"/>
  <c r="M14" i="1"/>
  <c r="M15" i="1"/>
  <c r="M5" i="1"/>
  <c r="M16" i="1"/>
  <c r="M6" i="1"/>
  <c r="CD3" i="1"/>
  <c r="CE3" i="1"/>
  <c r="CF3" i="1"/>
  <c r="CG3" i="1"/>
  <c r="CH3" i="1"/>
  <c r="I241" i="1"/>
  <c r="I244" i="1"/>
  <c r="I5" i="1"/>
  <c r="I229" i="1"/>
  <c r="I7" i="1"/>
  <c r="I3" i="1"/>
  <c r="I222" i="1"/>
  <c r="I220" i="1"/>
  <c r="Z1" i="1"/>
  <c r="AB1" i="1" s="1"/>
  <c r="AD1" i="1" s="1"/>
  <c r="AF1" i="1" s="1"/>
  <c r="AH1" i="1" s="1"/>
  <c r="AJ1" i="1" s="1"/>
  <c r="AL1" i="1" s="1"/>
  <c r="AO1" i="1" s="1"/>
  <c r="AQ1" i="1" s="1"/>
  <c r="AS1" i="1" s="1"/>
  <c r="AU1" i="1" s="1"/>
  <c r="AW1" i="1" s="1"/>
  <c r="AY1" i="1" s="1"/>
  <c r="BA1" i="1" s="1"/>
  <c r="BC1" i="1" s="1"/>
  <c r="BE1" i="1" s="1"/>
  <c r="BG1" i="1" s="1"/>
  <c r="BI1" i="1" s="1"/>
  <c r="BK1" i="1" s="1"/>
  <c r="BM1" i="1" s="1"/>
  <c r="BO1" i="1" s="1"/>
  <c r="BQ1" i="1" s="1"/>
  <c r="BS1" i="1" s="1"/>
  <c r="BU1" i="1" s="1"/>
  <c r="BW1" i="1" s="1"/>
  <c r="BY1" i="1" s="1"/>
  <c r="CA1" i="1" s="1"/>
  <c r="CC1" i="1" s="1"/>
  <c r="CE1" i="1" s="1"/>
  <c r="CG1" i="1" s="1"/>
  <c r="U4" i="1"/>
  <c r="CC3" i="1"/>
  <c r="AR3" i="1"/>
  <c r="AA3" i="1"/>
  <c r="BV3" i="1"/>
  <c r="BN3" i="1"/>
  <c r="BF3" i="1"/>
  <c r="AX3" i="1"/>
  <c r="AP3" i="1"/>
  <c r="AB3" i="1"/>
  <c r="AQ3" i="1"/>
  <c r="BU3" i="1"/>
  <c r="BM3" i="1"/>
  <c r="BE3" i="1"/>
  <c r="AW3" i="1"/>
  <c r="AO3" i="1"/>
  <c r="AG3" i="1"/>
  <c r="Y3" i="1"/>
  <c r="BX3" i="1"/>
  <c r="BW3" i="1"/>
  <c r="AY3" i="1"/>
  <c r="CB3" i="1"/>
  <c r="BT3" i="1"/>
  <c r="BL3" i="1"/>
  <c r="BD3" i="1"/>
  <c r="AV3" i="1"/>
  <c r="AN3" i="1"/>
  <c r="AF3" i="1"/>
  <c r="BP3" i="1"/>
  <c r="AZ3" i="1"/>
  <c r="X3" i="1"/>
  <c r="BG3" i="1"/>
  <c r="CA3" i="1"/>
  <c r="BS3" i="1"/>
  <c r="BK3" i="1"/>
  <c r="BC3" i="1"/>
  <c r="AU3" i="1"/>
  <c r="AM3" i="1"/>
  <c r="AE3" i="1"/>
  <c r="AJ3" i="1"/>
  <c r="BO3" i="1"/>
  <c r="AI3" i="1"/>
  <c r="BZ3" i="1"/>
  <c r="BR3" i="1"/>
  <c r="BJ3" i="1"/>
  <c r="BB3" i="1"/>
  <c r="AT3" i="1"/>
  <c r="AL3" i="1"/>
  <c r="AD3" i="1"/>
  <c r="BH3" i="1"/>
  <c r="BY3" i="1"/>
  <c r="BQ3" i="1"/>
  <c r="BI3" i="1"/>
  <c r="BA3" i="1"/>
  <c r="AS3" i="1"/>
  <c r="AK3" i="1"/>
  <c r="AC3" i="1"/>
  <c r="K179" i="1" l="1"/>
  <c r="P179" i="1"/>
  <c r="K48" i="1"/>
  <c r="P48" i="1"/>
  <c r="K47" i="1"/>
  <c r="P47" i="1"/>
  <c r="K46" i="1"/>
  <c r="P46" i="1"/>
  <c r="K45" i="1"/>
  <c r="P45" i="1"/>
  <c r="K500" i="1"/>
  <c r="O500" i="1"/>
  <c r="P500" i="1" s="1"/>
  <c r="O108" i="1"/>
  <c r="P108" i="1" s="1"/>
  <c r="K391" i="1"/>
  <c r="O391" i="1"/>
  <c r="P391" i="1" s="1"/>
  <c r="K511" i="1"/>
  <c r="O511" i="1"/>
  <c r="P511" i="1" s="1"/>
  <c r="K449" i="1"/>
  <c r="P449" i="1"/>
  <c r="P103" i="1"/>
  <c r="K9" i="1"/>
  <c r="P6" i="1"/>
  <c r="K452" i="1"/>
  <c r="P421" i="1"/>
  <c r="P245" i="1"/>
  <c r="P194" i="1"/>
  <c r="P128" i="1"/>
  <c r="P68" i="1"/>
  <c r="K14" i="1"/>
  <c r="K397" i="1"/>
  <c r="K247" i="1"/>
  <c r="K147" i="1"/>
  <c r="P127" i="1"/>
  <c r="K21" i="1"/>
  <c r="K454" i="1"/>
  <c r="K412" i="1"/>
  <c r="O306" i="1"/>
  <c r="P306" i="1" s="1"/>
  <c r="P93" i="1"/>
  <c r="K138" i="1"/>
  <c r="P87" i="1"/>
  <c r="P85" i="1"/>
  <c r="P76" i="1"/>
  <c r="K73" i="1"/>
  <c r="P8" i="1"/>
  <c r="P463" i="1"/>
  <c r="K450" i="1"/>
  <c r="P411" i="1"/>
  <c r="K96" i="1"/>
  <c r="P473" i="1"/>
  <c r="P393" i="1"/>
  <c r="K218" i="1"/>
  <c r="P144" i="1"/>
  <c r="P131" i="1"/>
  <c r="K84" i="1"/>
  <c r="P79" i="1"/>
  <c r="K72" i="1"/>
  <c r="P18" i="1"/>
  <c r="K11" i="1"/>
  <c r="K409" i="1"/>
  <c r="P225" i="1"/>
  <c r="K133" i="1"/>
  <c r="P83" i="1"/>
  <c r="K71" i="1"/>
  <c r="K447" i="1"/>
  <c r="P423" i="1"/>
  <c r="K400" i="1"/>
  <c r="P94" i="1"/>
  <c r="P70" i="1"/>
  <c r="P44" i="1"/>
  <c r="P10" i="1"/>
  <c r="P465" i="1"/>
  <c r="K461" i="1"/>
  <c r="P415" i="1"/>
  <c r="K375" i="1"/>
  <c r="P223" i="1"/>
  <c r="K183" i="1"/>
  <c r="K494" i="1"/>
  <c r="P494" i="1"/>
  <c r="K503" i="1"/>
  <c r="P503" i="1"/>
  <c r="K514" i="1"/>
  <c r="P514" i="1"/>
  <c r="K507" i="1"/>
  <c r="P507" i="1"/>
  <c r="K484" i="1"/>
  <c r="P484" i="1"/>
  <c r="M3" i="1"/>
  <c r="P198" i="1"/>
  <c r="K266" i="1"/>
  <c r="P266" i="1"/>
  <c r="J249" i="1"/>
  <c r="K265" i="1"/>
  <c r="P265" i="1"/>
  <c r="P255" i="1"/>
  <c r="K255" i="1"/>
  <c r="K264" i="1"/>
  <c r="P264" i="1"/>
  <c r="K254" i="1"/>
  <c r="P254" i="1"/>
  <c r="P263" i="1"/>
  <c r="K263" i="1"/>
  <c r="K253" i="1"/>
  <c r="P253" i="1"/>
  <c r="K262" i="1"/>
  <c r="P262" i="1"/>
  <c r="K259" i="1"/>
  <c r="P259" i="1"/>
  <c r="K252" i="1"/>
  <c r="P252" i="1"/>
  <c r="P268" i="1"/>
  <c r="K268" i="1"/>
  <c r="K261" i="1"/>
  <c r="P261" i="1"/>
  <c r="K260" i="1"/>
  <c r="P260" i="1"/>
  <c r="K258" i="1"/>
  <c r="P258" i="1"/>
  <c r="P251" i="1"/>
  <c r="K251" i="1"/>
  <c r="J267" i="1"/>
  <c r="J257" i="1"/>
  <c r="K256" i="1"/>
  <c r="P256" i="1"/>
  <c r="P250" i="1"/>
  <c r="K250" i="1"/>
  <c r="J137" i="1"/>
  <c r="J7" i="1"/>
  <c r="J5" i="1"/>
  <c r="P5" i="1" s="1"/>
  <c r="J377" i="1"/>
  <c r="P294" i="1"/>
  <c r="J244" i="1"/>
  <c r="J241" i="1"/>
  <c r="J229" i="1"/>
  <c r="J222" i="1"/>
  <c r="P222" i="1" s="1"/>
  <c r="J220" i="1"/>
  <c r="J204" i="1"/>
  <c r="K204" i="1" s="1"/>
  <c r="P362" i="1"/>
  <c r="J4" i="1"/>
  <c r="U3" i="1"/>
  <c r="K394" i="1"/>
  <c r="K389" i="1"/>
  <c r="K230" i="1"/>
  <c r="P230" i="1"/>
  <c r="K231" i="1"/>
  <c r="P231" i="1"/>
  <c r="P19" i="1"/>
  <c r="P158" i="1"/>
  <c r="K58" i="1"/>
  <c r="K338" i="1"/>
  <c r="P31" i="1"/>
  <c r="K374" i="1"/>
  <c r="K52" i="1"/>
  <c r="K180" i="1"/>
  <c r="P180" i="1"/>
  <c r="K477" i="1"/>
  <c r="P477" i="1"/>
  <c r="K57" i="1"/>
  <c r="K49" i="1"/>
  <c r="K43" i="1"/>
  <c r="P43" i="1"/>
  <c r="P293" i="1"/>
  <c r="K53" i="1"/>
  <c r="K39" i="1"/>
  <c r="P39" i="1"/>
  <c r="K51" i="1"/>
  <c r="K50" i="1"/>
  <c r="K278" i="1"/>
  <c r="P278" i="1"/>
  <c r="P237" i="1"/>
  <c r="P156" i="1"/>
  <c r="K56" i="1"/>
  <c r="K369" i="1"/>
  <c r="K153" i="1"/>
  <c r="P153" i="1"/>
  <c r="K60" i="1"/>
  <c r="P38" i="1"/>
  <c r="P30" i="1"/>
  <c r="K20" i="1"/>
  <c r="P20" i="1"/>
  <c r="P192" i="1"/>
  <c r="K59" i="1"/>
  <c r="P155" i="1"/>
  <c r="K55" i="1"/>
  <c r="P41" i="1"/>
  <c r="K33" i="1"/>
  <c r="P33" i="1"/>
  <c r="P234" i="1"/>
  <c r="P154" i="1"/>
  <c r="P145" i="1"/>
  <c r="K54" i="1"/>
  <c r="K32" i="1"/>
  <c r="P32" i="1"/>
  <c r="K233" i="1"/>
  <c r="P233" i="1"/>
  <c r="K110" i="1"/>
  <c r="K415" i="1"/>
  <c r="K325" i="1"/>
  <c r="P183" i="1"/>
  <c r="K273" i="1"/>
  <c r="O163" i="1"/>
  <c r="P163" i="1" s="1"/>
  <c r="P160" i="1"/>
  <c r="K160" i="1"/>
  <c r="K162" i="1"/>
  <c r="P142" i="1"/>
  <c r="P240" i="1"/>
  <c r="P446" i="1"/>
  <c r="K211" i="1"/>
  <c r="K302" i="1"/>
  <c r="P205" i="1"/>
  <c r="K329" i="1"/>
  <c r="P329" i="1"/>
  <c r="P281" i="1"/>
  <c r="K281" i="1"/>
  <c r="K86" i="1"/>
  <c r="K421" i="1"/>
  <c r="P471" i="1"/>
  <c r="K127" i="1"/>
  <c r="K224" i="1"/>
  <c r="K38" i="1"/>
  <c r="P189" i="1"/>
  <c r="P116" i="1"/>
  <c r="P226" i="1"/>
  <c r="K423" i="1"/>
  <c r="P431" i="1"/>
  <c r="K226" i="1"/>
  <c r="P284" i="1"/>
  <c r="K284" i="1"/>
  <c r="P235" i="1"/>
  <c r="K235" i="1"/>
  <c r="P232" i="1"/>
  <c r="K232" i="1"/>
  <c r="K181" i="1"/>
  <c r="P181" i="1"/>
  <c r="K279" i="1"/>
  <c r="K294" i="1"/>
  <c r="P276" i="1"/>
  <c r="P97" i="1"/>
  <c r="K234" i="1"/>
  <c r="K298" i="1"/>
  <c r="K455" i="1"/>
  <c r="K154" i="1"/>
  <c r="K41" i="1"/>
  <c r="K315" i="1"/>
  <c r="K395" i="1"/>
  <c r="P401" i="1"/>
  <c r="P224" i="1"/>
  <c r="P143" i="1"/>
  <c r="P247" i="1"/>
  <c r="P96" i="1"/>
  <c r="P21" i="1"/>
  <c r="P314" i="1"/>
  <c r="K427" i="1"/>
  <c r="P354" i="1"/>
  <c r="K515" i="1"/>
  <c r="K408" i="1"/>
  <c r="P408" i="1"/>
  <c r="K22" i="1"/>
  <c r="P22" i="1"/>
  <c r="P350" i="1"/>
  <c r="K350" i="1"/>
  <c r="K340" i="1"/>
  <c r="P334" i="1"/>
  <c r="K334" i="1"/>
  <c r="P239" i="1"/>
  <c r="K239" i="1"/>
  <c r="O167" i="1"/>
  <c r="P167" i="1" s="1"/>
  <c r="K167" i="1"/>
  <c r="K78" i="1"/>
  <c r="P270" i="1"/>
  <c r="K270" i="1"/>
  <c r="P221" i="1"/>
  <c r="K221" i="1"/>
  <c r="K173" i="1"/>
  <c r="P173" i="1"/>
  <c r="K140" i="1"/>
  <c r="K291" i="1"/>
  <c r="P132" i="1"/>
  <c r="K227" i="1"/>
  <c r="P326" i="1"/>
  <c r="K418" i="1"/>
  <c r="P418" i="1"/>
  <c r="P403" i="1"/>
  <c r="K403" i="1"/>
  <c r="P365" i="1"/>
  <c r="K365" i="1"/>
  <c r="K286" i="1"/>
  <c r="P17" i="1"/>
  <c r="P375" i="1"/>
  <c r="P346" i="1"/>
  <c r="K346" i="1"/>
  <c r="K195" i="1"/>
  <c r="K142" i="1"/>
  <c r="K282" i="1"/>
  <c r="P289" i="1"/>
  <c r="P72" i="1"/>
  <c r="P106" i="1"/>
  <c r="K356" i="1"/>
  <c r="K319" i="1"/>
  <c r="P440" i="1"/>
  <c r="P353" i="1"/>
  <c r="K353" i="1"/>
  <c r="P288" i="1"/>
  <c r="P75" i="1"/>
  <c r="K112" i="1"/>
  <c r="K150" i="1"/>
  <c r="K75" i="1"/>
  <c r="K197" i="1"/>
  <c r="K120" i="1"/>
  <c r="O161" i="1"/>
  <c r="P161" i="1" s="1"/>
  <c r="K161" i="1"/>
  <c r="K36" i="1"/>
  <c r="P36" i="1"/>
  <c r="K392" i="1"/>
  <c r="P392" i="1"/>
  <c r="P290" i="1"/>
  <c r="K290" i="1"/>
  <c r="P274" i="1"/>
  <c r="K274" i="1"/>
  <c r="P182" i="1"/>
  <c r="K182" i="1"/>
  <c r="K187" i="1"/>
  <c r="P187" i="1"/>
  <c r="K215" i="1"/>
  <c r="P321" i="1"/>
  <c r="K321" i="1"/>
  <c r="K207" i="1"/>
  <c r="K432" i="1"/>
  <c r="P336" i="1"/>
  <c r="K336" i="1"/>
  <c r="K300" i="1"/>
  <c r="K297" i="1"/>
  <c r="K192" i="1"/>
  <c r="P199" i="1"/>
  <c r="K318" i="1"/>
  <c r="P385" i="1"/>
  <c r="K341" i="1"/>
  <c r="P341" i="1"/>
  <c r="K151" i="1"/>
  <c r="P333" i="1"/>
  <c r="K317" i="1"/>
  <c r="K358" i="1"/>
  <c r="K472" i="1"/>
  <c r="K420" i="1"/>
  <c r="P420" i="1"/>
  <c r="P366" i="1"/>
  <c r="K366" i="1"/>
  <c r="K176" i="1"/>
  <c r="K272" i="1"/>
  <c r="K178" i="1"/>
  <c r="K194" i="1"/>
  <c r="K8" i="1"/>
  <c r="P305" i="1"/>
  <c r="K313" i="1"/>
  <c r="K337" i="1"/>
  <c r="P361" i="1"/>
  <c r="K361" i="1"/>
  <c r="P406" i="1"/>
  <c r="P447" i="1"/>
  <c r="P444" i="1"/>
  <c r="K287" i="1"/>
  <c r="O159" i="1"/>
  <c r="P159" i="1" s="1"/>
  <c r="K248" i="1"/>
  <c r="K303" i="1"/>
  <c r="P78" i="1"/>
  <c r="P135" i="1"/>
  <c r="K135" i="1"/>
  <c r="K198" i="1"/>
  <c r="K435" i="1"/>
  <c r="P435" i="1"/>
  <c r="K70" i="1"/>
  <c r="P388" i="1"/>
  <c r="P174" i="1"/>
  <c r="K174" i="1"/>
  <c r="P157" i="1"/>
  <c r="K157" i="1"/>
  <c r="K376" i="1"/>
  <c r="P376" i="1"/>
  <c r="K98" i="1"/>
  <c r="P98" i="1"/>
  <c r="K141" i="1"/>
  <c r="K129" i="1"/>
  <c r="K10" i="1"/>
  <c r="P148" i="1"/>
  <c r="P175" i="1"/>
  <c r="K219" i="1"/>
  <c r="P102" i="1"/>
  <c r="K79" i="1"/>
  <c r="K30" i="1"/>
  <c r="K37" i="1"/>
  <c r="P37" i="1"/>
  <c r="P351" i="1"/>
  <c r="K322" i="1"/>
  <c r="P343" i="1"/>
  <c r="K343" i="1"/>
  <c r="K437" i="1"/>
  <c r="P437" i="1"/>
  <c r="K126" i="1"/>
  <c r="K158" i="1"/>
  <c r="K165" i="1"/>
  <c r="K217" i="1"/>
  <c r="P126" i="1"/>
  <c r="P188" i="1"/>
  <c r="K238" i="1"/>
  <c r="P238" i="1"/>
  <c r="K196" i="1"/>
  <c r="K306" i="1"/>
  <c r="K31" i="1"/>
  <c r="P203" i="1"/>
  <c r="P201" i="1"/>
  <c r="K330" i="1"/>
  <c r="P430" i="1"/>
  <c r="K445" i="1"/>
  <c r="P445" i="1"/>
  <c r="K448" i="1"/>
  <c r="K27" i="1"/>
  <c r="P27" i="1"/>
  <c r="K283" i="1"/>
  <c r="K155" i="1"/>
  <c r="P191" i="1"/>
  <c r="K245" i="1"/>
  <c r="P23" i="1"/>
  <c r="K23" i="1"/>
  <c r="P359" i="1"/>
  <c r="K339" i="1"/>
  <c r="K386" i="1"/>
  <c r="P386" i="1"/>
  <c r="K94" i="1"/>
  <c r="P82" i="1"/>
  <c r="K434" i="1"/>
  <c r="P434" i="1"/>
  <c r="P209" i="1"/>
  <c r="K209" i="1"/>
  <c r="K243" i="1"/>
  <c r="P243" i="1"/>
  <c r="K202" i="1"/>
  <c r="P202" i="1"/>
  <c r="P133" i="1"/>
  <c r="P218" i="1"/>
  <c r="P90" i="1"/>
  <c r="P95" i="1"/>
  <c r="K101" i="1"/>
  <c r="K19" i="1"/>
  <c r="P310" i="1"/>
  <c r="K328" i="1"/>
  <c r="P328" i="1"/>
  <c r="K171" i="1"/>
  <c r="P213" i="1"/>
  <c r="K304" i="1"/>
  <c r="P304" i="1"/>
  <c r="K90" i="1"/>
  <c r="K95" i="1"/>
  <c r="P100" i="1"/>
  <c r="P35" i="1"/>
  <c r="K342" i="1"/>
  <c r="P311" i="1"/>
  <c r="K393" i="1"/>
  <c r="P426" i="1"/>
  <c r="P457" i="1"/>
  <c r="P104" i="1"/>
  <c r="K104" i="1"/>
  <c r="K382" i="1"/>
  <c r="P382" i="1"/>
  <c r="P307" i="1"/>
  <c r="K307" i="1"/>
  <c r="K344" i="1"/>
  <c r="P344" i="1"/>
  <c r="K67" i="1"/>
  <c r="K190" i="1"/>
  <c r="P11" i="1"/>
  <c r="P168" i="1"/>
  <c r="P246" i="1"/>
  <c r="O170" i="1"/>
  <c r="P170" i="1" s="1"/>
  <c r="K216" i="1"/>
  <c r="K100" i="1"/>
  <c r="P210" i="1"/>
  <c r="P113" i="1"/>
  <c r="P309" i="1"/>
  <c r="P357" i="1"/>
  <c r="K373" i="1"/>
  <c r="K384" i="1"/>
  <c r="P384" i="1"/>
  <c r="K411" i="1"/>
  <c r="P125" i="1"/>
  <c r="K125" i="1"/>
  <c r="K372" i="1"/>
  <c r="P177" i="1"/>
  <c r="P84" i="1"/>
  <c r="K108" i="1"/>
  <c r="K399" i="1"/>
  <c r="P114" i="1"/>
  <c r="K114" i="1"/>
  <c r="K474" i="1"/>
  <c r="P407" i="1"/>
  <c r="K407" i="1"/>
  <c r="K352" i="1"/>
  <c r="P352" i="1"/>
  <c r="K139" i="1"/>
  <c r="P139" i="1"/>
  <c r="K136" i="1"/>
  <c r="P136" i="1"/>
  <c r="K24" i="1"/>
  <c r="P24" i="1"/>
  <c r="K16" i="1"/>
  <c r="P16" i="1"/>
  <c r="P285" i="1"/>
  <c r="K285" i="1"/>
  <c r="P277" i="1"/>
  <c r="K277" i="1"/>
  <c r="K269" i="1"/>
  <c r="P269" i="1"/>
  <c r="K242" i="1"/>
  <c r="P242" i="1"/>
  <c r="P236" i="1"/>
  <c r="K236" i="1"/>
  <c r="K228" i="1"/>
  <c r="K185" i="1"/>
  <c r="P185" i="1"/>
  <c r="K92" i="1"/>
  <c r="P92" i="1"/>
  <c r="K42" i="1"/>
  <c r="P42" i="1"/>
  <c r="P119" i="1"/>
  <c r="K119" i="1"/>
  <c r="K111" i="1"/>
  <c r="P111" i="1"/>
  <c r="K99" i="1"/>
  <c r="P99" i="1"/>
  <c r="K77" i="1"/>
  <c r="P77" i="1"/>
  <c r="K462" i="1"/>
  <c r="P462" i="1"/>
  <c r="P383" i="1"/>
  <c r="K355" i="1"/>
  <c r="P355" i="1"/>
  <c r="P331" i="1"/>
  <c r="K331" i="1"/>
  <c r="K295" i="1"/>
  <c r="K292" i="1"/>
  <c r="K12" i="1"/>
  <c r="K168" i="1"/>
  <c r="O166" i="1"/>
  <c r="P166" i="1" s="1"/>
  <c r="P152" i="1"/>
  <c r="K152" i="1"/>
  <c r="O172" i="1"/>
  <c r="P172" i="1" s="1"/>
  <c r="K91" i="1"/>
  <c r="P91" i="1"/>
  <c r="K83" i="1"/>
  <c r="K74" i="1"/>
  <c r="P74" i="1"/>
  <c r="K206" i="1"/>
  <c r="P206" i="1"/>
  <c r="P109" i="1"/>
  <c r="K109" i="1"/>
  <c r="P312" i="1"/>
  <c r="K312" i="1"/>
  <c r="K371" i="1"/>
  <c r="P378" i="1"/>
  <c r="K436" i="1"/>
  <c r="P436" i="1"/>
  <c r="P413" i="1"/>
  <c r="K413" i="1"/>
  <c r="K469" i="1"/>
  <c r="P469" i="1"/>
  <c r="K87" i="1"/>
  <c r="K29" i="1"/>
  <c r="P29" i="1"/>
  <c r="P212" i="1"/>
  <c r="K212" i="1"/>
  <c r="P364" i="1"/>
  <c r="K364" i="1"/>
  <c r="P456" i="1"/>
  <c r="P425" i="1"/>
  <c r="K425" i="1"/>
  <c r="K370" i="1"/>
  <c r="K316" i="1"/>
  <c r="P316" i="1"/>
  <c r="K156" i="1"/>
  <c r="K296" i="1"/>
  <c r="K237" i="1"/>
  <c r="K15" i="1"/>
  <c r="P9" i="1"/>
  <c r="P300" i="1"/>
  <c r="K146" i="1"/>
  <c r="P146" i="1"/>
  <c r="P73" i="1"/>
  <c r="K25" i="1"/>
  <c r="P25" i="1"/>
  <c r="K208" i="1"/>
  <c r="K323" i="1"/>
  <c r="K383" i="1"/>
  <c r="K433" i="1"/>
  <c r="P439" i="1"/>
  <c r="K439" i="1"/>
  <c r="P122" i="1"/>
  <c r="K122" i="1"/>
  <c r="K335" i="1"/>
  <c r="P335" i="1"/>
  <c r="P402" i="1"/>
  <c r="K402" i="1"/>
  <c r="K271" i="1"/>
  <c r="K225" i="1"/>
  <c r="P14" i="1"/>
  <c r="K130" i="1"/>
  <c r="K131" i="1"/>
  <c r="K128" i="1"/>
  <c r="K76" i="1"/>
  <c r="P105" i="1"/>
  <c r="P345" i="1"/>
  <c r="K368" i="1"/>
  <c r="K144" i="1"/>
  <c r="K103" i="1"/>
  <c r="K88" i="1"/>
  <c r="P88" i="1"/>
  <c r="K81" i="1"/>
  <c r="P81" i="1"/>
  <c r="P410" i="1"/>
  <c r="K410" i="1"/>
  <c r="K293" i="1"/>
  <c r="K280" i="1"/>
  <c r="K170" i="1"/>
  <c r="K246" i="1"/>
  <c r="P138" i="1"/>
  <c r="O169" i="1"/>
  <c r="P169" i="1" s="1"/>
  <c r="P165" i="1"/>
  <c r="P186" i="1"/>
  <c r="P151" i="1"/>
  <c r="K6" i="1"/>
  <c r="K89" i="1"/>
  <c r="K200" i="1"/>
  <c r="P200" i="1"/>
  <c r="K124" i="1"/>
  <c r="P124" i="1"/>
  <c r="K117" i="1"/>
  <c r="P117" i="1"/>
  <c r="K93" i="1"/>
  <c r="K467" i="1"/>
  <c r="P467" i="1"/>
  <c r="K441" i="1"/>
  <c r="P441" i="1"/>
  <c r="K380" i="1"/>
  <c r="P380" i="1"/>
  <c r="K134" i="1"/>
  <c r="K223" i="1"/>
  <c r="K80" i="1"/>
  <c r="P80" i="1"/>
  <c r="P71" i="1"/>
  <c r="P332" i="1"/>
  <c r="K308" i="1"/>
  <c r="K44" i="1"/>
  <c r="P419" i="1"/>
  <c r="K419" i="1"/>
  <c r="K26" i="1"/>
  <c r="P26" i="1"/>
  <c r="K417" i="1"/>
  <c r="P417" i="1"/>
  <c r="K301" i="1"/>
  <c r="K177" i="1"/>
  <c r="K214" i="1"/>
  <c r="K213" i="1"/>
  <c r="K13" i="1"/>
  <c r="P164" i="1"/>
  <c r="P130" i="1"/>
  <c r="P178" i="1"/>
  <c r="K145" i="1"/>
  <c r="P147" i="1"/>
  <c r="P69" i="1"/>
  <c r="P193" i="1"/>
  <c r="K193" i="1"/>
  <c r="K18" i="1"/>
  <c r="K347" i="1"/>
  <c r="K456" i="1"/>
  <c r="K17" i="1"/>
  <c r="K299" i="1"/>
  <c r="K164" i="1"/>
  <c r="P287" i="1"/>
  <c r="K184" i="1"/>
  <c r="P184" i="1"/>
  <c r="K275" i="1"/>
  <c r="P275" i="1"/>
  <c r="K69" i="1"/>
  <c r="P89" i="1"/>
  <c r="K85" i="1"/>
  <c r="K107" i="1"/>
  <c r="K363" i="1"/>
  <c r="K387" i="1"/>
  <c r="P387" i="1"/>
  <c r="K396" i="1"/>
  <c r="O149" i="1"/>
  <c r="P149" i="1" s="1"/>
  <c r="P219" i="1"/>
  <c r="K34" i="1"/>
  <c r="P34" i="1"/>
  <c r="P118" i="1"/>
  <c r="K118" i="1"/>
  <c r="P348" i="1"/>
  <c r="K348" i="1"/>
  <c r="K379" i="1"/>
  <c r="P379" i="1"/>
  <c r="K390" i="1"/>
  <c r="P390" i="1"/>
  <c r="K68" i="1"/>
  <c r="K40" i="1"/>
  <c r="P40" i="1"/>
  <c r="K123" i="1"/>
  <c r="K121" i="1"/>
  <c r="K327" i="1"/>
  <c r="P327" i="1"/>
  <c r="K424" i="1"/>
  <c r="P409" i="1"/>
  <c r="P398" i="1"/>
  <c r="K398" i="1"/>
  <c r="K438" i="1"/>
  <c r="P438" i="1"/>
  <c r="K465" i="1"/>
  <c r="P461" i="1"/>
  <c r="P216" i="1"/>
  <c r="K102" i="1"/>
  <c r="K115" i="1"/>
  <c r="P324" i="1"/>
  <c r="K324" i="1"/>
  <c r="K422" i="1"/>
  <c r="P422" i="1"/>
  <c r="K429" i="1"/>
  <c r="P429" i="1"/>
  <c r="P416" i="1"/>
  <c r="K416" i="1"/>
  <c r="P405" i="1"/>
  <c r="K405" i="1"/>
  <c r="K442" i="1"/>
  <c r="P442" i="1"/>
  <c r="P464" i="1"/>
  <c r="K464" i="1"/>
  <c r="P381" i="1"/>
  <c r="K381" i="1"/>
  <c r="K28" i="1"/>
  <c r="P28" i="1"/>
  <c r="K463" i="1"/>
  <c r="K473" i="1"/>
  <c r="P349" i="1"/>
  <c r="K320" i="1"/>
  <c r="P404" i="1"/>
  <c r="P414" i="1"/>
  <c r="K82" i="1"/>
  <c r="P86" i="1"/>
  <c r="P101" i="1"/>
  <c r="K360" i="1"/>
  <c r="K414" i="1"/>
  <c r="P400" i="1"/>
  <c r="K451" i="1"/>
  <c r="K367" i="1"/>
  <c r="P428" i="1"/>
  <c r="K428" i="1"/>
  <c r="P397" i="1"/>
  <c r="K470" i="1"/>
  <c r="P412" i="1"/>
  <c r="K443" i="1"/>
  <c r="P443" i="1"/>
  <c r="P474" i="1"/>
  <c r="P137" i="1" l="1"/>
  <c r="P220" i="1"/>
  <c r="P4" i="1"/>
  <c r="K229" i="1"/>
  <c r="P7" i="1"/>
  <c r="K241" i="1"/>
  <c r="K377" i="1"/>
  <c r="K267" i="1"/>
  <c r="P267" i="1"/>
  <c r="K249" i="1"/>
  <c r="P249" i="1"/>
  <c r="K244" i="1"/>
  <c r="K257" i="1"/>
  <c r="P257" i="1"/>
  <c r="P244" i="1"/>
  <c r="K137" i="1"/>
  <c r="P377" i="1"/>
  <c r="P241" i="1"/>
  <c r="P229" i="1"/>
  <c r="K220" i="1"/>
  <c r="P204" i="1"/>
  <c r="K5" i="1"/>
  <c r="K222" i="1"/>
  <c r="K7" i="1"/>
  <c r="K4" i="1"/>
  <c r="J3" i="1"/>
  <c r="O3" i="1" l="1"/>
  <c r="P3" i="1"/>
  <c r="M4" i="10" l="1"/>
  <c r="M589" i="10"/>
  <c r="U589" i="10"/>
  <c r="J589" i="10" s="1"/>
  <c r="K589" i="10" s="1"/>
  <c r="M588" i="10"/>
  <c r="U588" i="10"/>
  <c r="J588" i="10" s="1"/>
  <c r="K588" i="10" s="1"/>
  <c r="M587" i="10"/>
  <c r="U587" i="10"/>
  <c r="J587" i="10" s="1"/>
  <c r="K587" i="10" s="1"/>
  <c r="M586" i="10"/>
  <c r="U586" i="10"/>
  <c r="J586" i="10" s="1"/>
  <c r="K586" i="10" s="1"/>
  <c r="M585" i="10"/>
  <c r="U585" i="10"/>
  <c r="J585" i="10" s="1"/>
  <c r="K585" i="10" s="1"/>
  <c r="M584" i="10"/>
  <c r="U584" i="10"/>
  <c r="J584" i="10" s="1"/>
  <c r="K584" i="10" s="1"/>
  <c r="M583" i="10"/>
  <c r="U583" i="10"/>
  <c r="J583" i="10" s="1"/>
  <c r="K583" i="10" s="1"/>
  <c r="M582" i="10"/>
  <c r="U582" i="10"/>
  <c r="J582" i="10" s="1"/>
  <c r="K582" i="10" s="1"/>
  <c r="M581" i="10"/>
  <c r="U581" i="10"/>
  <c r="J581" i="10" s="1"/>
  <c r="K581" i="10" s="1"/>
  <c r="M580" i="10"/>
  <c r="U580" i="10"/>
  <c r="J580" i="10" s="1"/>
  <c r="K580" i="10" s="1"/>
  <c r="M579" i="10"/>
  <c r="U579" i="10"/>
  <c r="J579" i="10" s="1"/>
  <c r="K579" i="10" s="1"/>
  <c r="M578" i="10"/>
  <c r="U578" i="10"/>
  <c r="J578" i="10" s="1"/>
  <c r="M577" i="10"/>
  <c r="U577" i="10"/>
  <c r="J577" i="10" s="1"/>
  <c r="M576" i="10"/>
  <c r="U576" i="10"/>
  <c r="J576" i="10" s="1"/>
  <c r="K576" i="10" s="1"/>
  <c r="M575" i="10"/>
  <c r="U575" i="10"/>
  <c r="J575" i="10" s="1"/>
  <c r="M574" i="10"/>
  <c r="U574" i="10"/>
  <c r="J574" i="10" s="1"/>
  <c r="K574" i="10" s="1"/>
  <c r="M573" i="10"/>
  <c r="U573" i="10"/>
  <c r="J573" i="10" s="1"/>
  <c r="M572" i="10"/>
  <c r="U572" i="10"/>
  <c r="J572" i="10" s="1"/>
  <c r="M571" i="10"/>
  <c r="U571" i="10"/>
  <c r="J571" i="10" s="1"/>
  <c r="K571" i="10" s="1"/>
  <c r="M570" i="10"/>
  <c r="U570" i="10"/>
  <c r="J570" i="10" s="1"/>
  <c r="K570" i="10" s="1"/>
  <c r="M569" i="10"/>
  <c r="U569" i="10"/>
  <c r="J569" i="10" s="1"/>
  <c r="M568" i="10"/>
  <c r="U568" i="10"/>
  <c r="J568" i="10" s="1"/>
  <c r="K568" i="10" s="1"/>
  <c r="M567" i="10"/>
  <c r="U567" i="10"/>
  <c r="J567" i="10" s="1"/>
  <c r="M566" i="10"/>
  <c r="U566" i="10"/>
  <c r="J566" i="10" s="1"/>
  <c r="K566" i="10" s="1"/>
  <c r="M565" i="10"/>
  <c r="U565" i="10"/>
  <c r="J565" i="10" s="1"/>
  <c r="K565" i="10" s="1"/>
  <c r="M564" i="10"/>
  <c r="U564" i="10"/>
  <c r="J564" i="10" s="1"/>
  <c r="K564" i="10" s="1"/>
  <c r="M563" i="10"/>
  <c r="U563" i="10"/>
  <c r="J563" i="10" s="1"/>
  <c r="K563" i="10" s="1"/>
  <c r="M562" i="10"/>
  <c r="U562" i="10"/>
  <c r="J562" i="10" s="1"/>
  <c r="K562" i="10" s="1"/>
  <c r="M561" i="10"/>
  <c r="U561" i="10"/>
  <c r="J561" i="10" s="1"/>
  <c r="M560" i="10"/>
  <c r="U560" i="10"/>
  <c r="J560" i="10" s="1"/>
  <c r="K560" i="10" s="1"/>
  <c r="M559" i="10"/>
  <c r="U559" i="10"/>
  <c r="J559" i="10" s="1"/>
  <c r="K559" i="10" s="1"/>
  <c r="M558" i="10"/>
  <c r="U558" i="10"/>
  <c r="J558" i="10" s="1"/>
  <c r="K558" i="10" s="1"/>
  <c r="M557" i="10"/>
  <c r="U557" i="10"/>
  <c r="J557" i="10" s="1"/>
  <c r="K557" i="10" s="1"/>
  <c r="M556" i="10"/>
  <c r="U556" i="10"/>
  <c r="J556" i="10" s="1"/>
  <c r="K556" i="10" s="1"/>
  <c r="M555" i="10"/>
  <c r="U555" i="10"/>
  <c r="J555" i="10" s="1"/>
  <c r="K555" i="10" s="1"/>
  <c r="M554" i="10"/>
  <c r="U554" i="10"/>
  <c r="J554" i="10" s="1"/>
  <c r="K554" i="10" s="1"/>
  <c r="M553" i="10"/>
  <c r="U553" i="10"/>
  <c r="J553" i="10" s="1"/>
  <c r="K553" i="10" s="1"/>
  <c r="M552" i="10"/>
  <c r="U552" i="10"/>
  <c r="J552" i="10" s="1"/>
  <c r="K552" i="10" s="1"/>
  <c r="M551" i="10"/>
  <c r="U551" i="10"/>
  <c r="J551" i="10" s="1"/>
  <c r="K551" i="10" s="1"/>
  <c r="M550" i="10"/>
  <c r="U550" i="10"/>
  <c r="J550" i="10" s="1"/>
  <c r="K550" i="10" s="1"/>
  <c r="M549" i="10"/>
  <c r="U549" i="10"/>
  <c r="J549" i="10" s="1"/>
  <c r="K549" i="10" s="1"/>
  <c r="M548" i="10"/>
  <c r="U548" i="10"/>
  <c r="J548" i="10" s="1"/>
  <c r="M547" i="10"/>
  <c r="U547" i="10"/>
  <c r="J547" i="10" s="1"/>
  <c r="M546" i="10"/>
  <c r="U546" i="10"/>
  <c r="J546" i="10" s="1"/>
  <c r="K546" i="10" s="1"/>
  <c r="M545" i="10"/>
  <c r="U545" i="10"/>
  <c r="J545" i="10" s="1"/>
  <c r="K545" i="10" s="1"/>
  <c r="M544" i="10"/>
  <c r="U544" i="10"/>
  <c r="J544" i="10" s="1"/>
  <c r="K544" i="10" s="1"/>
  <c r="M543" i="10"/>
  <c r="U543" i="10"/>
  <c r="J543" i="10" s="1"/>
  <c r="M542" i="10"/>
  <c r="U542" i="10"/>
  <c r="J542" i="10" s="1"/>
  <c r="M541" i="10"/>
  <c r="U541" i="10"/>
  <c r="J541" i="10" s="1"/>
  <c r="K541" i="10" s="1"/>
  <c r="M540" i="10"/>
  <c r="U540" i="10"/>
  <c r="J540" i="10" s="1"/>
  <c r="K540" i="10" s="1"/>
  <c r="M539" i="10"/>
  <c r="U539" i="10"/>
  <c r="J539" i="10" s="1"/>
  <c r="K539" i="10" s="1"/>
  <c r="M538" i="10"/>
  <c r="U538" i="10"/>
  <c r="J538" i="10" s="1"/>
  <c r="U537" i="10"/>
  <c r="J537" i="10" s="1"/>
  <c r="M537" i="10"/>
  <c r="U536" i="10"/>
  <c r="J536" i="10" s="1"/>
  <c r="M536" i="10"/>
  <c r="U535" i="10"/>
  <c r="J535" i="10" s="1"/>
  <c r="M535" i="10"/>
  <c r="U534" i="10"/>
  <c r="J534" i="10" s="1"/>
  <c r="K534" i="10" s="1"/>
  <c r="M534" i="10"/>
  <c r="U533" i="10"/>
  <c r="J533" i="10" s="1"/>
  <c r="K533" i="10" s="1"/>
  <c r="M533" i="10"/>
  <c r="U532" i="10"/>
  <c r="J532" i="10" s="1"/>
  <c r="M532" i="10"/>
  <c r="M531" i="10"/>
  <c r="U531" i="10"/>
  <c r="J531" i="10" s="1"/>
  <c r="M530" i="10"/>
  <c r="U530" i="10"/>
  <c r="J530" i="10" s="1"/>
  <c r="U529" i="10"/>
  <c r="J529" i="10" s="1"/>
  <c r="M529" i="10"/>
  <c r="M528" i="10"/>
  <c r="U528" i="10"/>
  <c r="J528" i="10" s="1"/>
  <c r="K528" i="10" s="1"/>
  <c r="U527" i="10"/>
  <c r="J527" i="10" s="1"/>
  <c r="M527" i="10"/>
  <c r="U526" i="10"/>
  <c r="J526" i="10" s="1"/>
  <c r="K526" i="10" s="1"/>
  <c r="M526" i="10"/>
  <c r="M525" i="10"/>
  <c r="U525" i="10"/>
  <c r="J525" i="10" s="1"/>
  <c r="K525" i="10" s="1"/>
  <c r="M523" i="10"/>
  <c r="U523" i="10"/>
  <c r="J523" i="10" s="1"/>
  <c r="K523" i="10" s="1"/>
  <c r="M522" i="10"/>
  <c r="U522" i="10"/>
  <c r="J522" i="10" s="1"/>
  <c r="K522" i="10" s="1"/>
  <c r="M521" i="10"/>
  <c r="U521" i="10"/>
  <c r="J521" i="10" s="1"/>
  <c r="K521" i="10" s="1"/>
  <c r="U520" i="10"/>
  <c r="J520" i="10" s="1"/>
  <c r="M520" i="10"/>
  <c r="U519" i="10"/>
  <c r="J519" i="10" s="1"/>
  <c r="M519" i="10"/>
  <c r="U518" i="10"/>
  <c r="J518" i="10" s="1"/>
  <c r="P518" i="10" s="1"/>
  <c r="M518" i="10"/>
  <c r="U517" i="10"/>
  <c r="J517" i="10" s="1"/>
  <c r="M517" i="10"/>
  <c r="U516" i="10"/>
  <c r="J516" i="10" s="1"/>
  <c r="P516" i="10" s="1"/>
  <c r="M516" i="10"/>
  <c r="U515" i="10"/>
  <c r="J515" i="10" s="1"/>
  <c r="M515" i="10"/>
  <c r="U514" i="10"/>
  <c r="J514" i="10" s="1"/>
  <c r="P514" i="10" s="1"/>
  <c r="M514" i="10"/>
  <c r="U513" i="10"/>
  <c r="J513" i="10" s="1"/>
  <c r="M513" i="10"/>
  <c r="U512" i="10"/>
  <c r="J512" i="10" s="1"/>
  <c r="P512" i="10" s="1"/>
  <c r="M512" i="10"/>
  <c r="U511" i="10"/>
  <c r="J511" i="10" s="1"/>
  <c r="M511" i="10"/>
  <c r="U510" i="10"/>
  <c r="J510" i="10" s="1"/>
  <c r="P510" i="10" s="1"/>
  <c r="M510" i="10"/>
  <c r="U509" i="10"/>
  <c r="J509" i="10" s="1"/>
  <c r="M509" i="10"/>
  <c r="U508" i="10"/>
  <c r="J508" i="10" s="1"/>
  <c r="M508" i="10"/>
  <c r="U507" i="10"/>
  <c r="J507" i="10" s="1"/>
  <c r="M507" i="10"/>
  <c r="U506" i="10"/>
  <c r="J506" i="10" s="1"/>
  <c r="P506" i="10" s="1"/>
  <c r="M506" i="10"/>
  <c r="U505" i="10"/>
  <c r="J505" i="10" s="1"/>
  <c r="M505" i="10"/>
  <c r="U504" i="10"/>
  <c r="J504" i="10" s="1"/>
  <c r="M504" i="10"/>
  <c r="U503" i="10"/>
  <c r="J503" i="10" s="1"/>
  <c r="M503" i="10"/>
  <c r="U502" i="10"/>
  <c r="J502" i="10" s="1"/>
  <c r="P502" i="10" s="1"/>
  <c r="M502" i="10"/>
  <c r="U501" i="10"/>
  <c r="J501" i="10" s="1"/>
  <c r="M501" i="10"/>
  <c r="U500" i="10"/>
  <c r="J500" i="10" s="1"/>
  <c r="M500" i="10"/>
  <c r="M498" i="10"/>
  <c r="U498" i="10"/>
  <c r="J498" i="10" s="1"/>
  <c r="K498" i="10" s="1"/>
  <c r="M497" i="10"/>
  <c r="U497" i="10"/>
  <c r="J497" i="10" s="1"/>
  <c r="K497" i="10" s="1"/>
  <c r="M496" i="10"/>
  <c r="U496" i="10"/>
  <c r="J496" i="10" s="1"/>
  <c r="K496" i="10" s="1"/>
  <c r="M495" i="10"/>
  <c r="U495" i="10"/>
  <c r="J495" i="10" s="1"/>
  <c r="K495" i="10" s="1"/>
  <c r="M494" i="10"/>
  <c r="U494" i="10"/>
  <c r="J494" i="10" s="1"/>
  <c r="K494" i="10" s="1"/>
  <c r="M493" i="10"/>
  <c r="U493" i="10"/>
  <c r="J493" i="10" s="1"/>
  <c r="K493" i="10" s="1"/>
  <c r="M492" i="10"/>
  <c r="U492" i="10"/>
  <c r="J492" i="10" s="1"/>
  <c r="K492" i="10" s="1"/>
  <c r="M491" i="10"/>
  <c r="U491" i="10"/>
  <c r="J491" i="10" s="1"/>
  <c r="K491" i="10" s="1"/>
  <c r="M490" i="10"/>
  <c r="U490" i="10"/>
  <c r="J490" i="10" s="1"/>
  <c r="K490" i="10" s="1"/>
  <c r="M489" i="10"/>
  <c r="U489" i="10"/>
  <c r="J489" i="10" s="1"/>
  <c r="K489" i="10" s="1"/>
  <c r="M488" i="10"/>
  <c r="U488" i="10"/>
  <c r="J488" i="10" s="1"/>
  <c r="K488" i="10" s="1"/>
  <c r="M487" i="10"/>
  <c r="U487" i="10"/>
  <c r="J487" i="10" s="1"/>
  <c r="K487" i="10" s="1"/>
  <c r="M486" i="10"/>
  <c r="U486" i="10"/>
  <c r="J486" i="10" s="1"/>
  <c r="K486" i="10" s="1"/>
  <c r="M485" i="10"/>
  <c r="U485" i="10"/>
  <c r="J485" i="10" s="1"/>
  <c r="K485" i="10" s="1"/>
  <c r="M484" i="10"/>
  <c r="U484" i="10"/>
  <c r="J484" i="10" s="1"/>
  <c r="K484" i="10" s="1"/>
  <c r="M483" i="10"/>
  <c r="U483" i="10"/>
  <c r="J483" i="10" s="1"/>
  <c r="K483" i="10" s="1"/>
  <c r="M482" i="10"/>
  <c r="U482" i="10"/>
  <c r="J482" i="10" s="1"/>
  <c r="K482" i="10" s="1"/>
  <c r="M481" i="10"/>
  <c r="U481" i="10"/>
  <c r="J481" i="10" s="1"/>
  <c r="K481" i="10" s="1"/>
  <c r="M480" i="10"/>
  <c r="U480" i="10"/>
  <c r="J480" i="10" s="1"/>
  <c r="K480" i="10" s="1"/>
  <c r="U479" i="10"/>
  <c r="J479" i="10" s="1"/>
  <c r="K479" i="10" s="1"/>
  <c r="M479" i="10"/>
  <c r="M478" i="10"/>
  <c r="U478" i="10"/>
  <c r="J478" i="10" s="1"/>
  <c r="K478" i="10" s="1"/>
  <c r="M477" i="10"/>
  <c r="U477" i="10"/>
  <c r="J477" i="10" s="1"/>
  <c r="K477" i="10" s="1"/>
  <c r="M476" i="10"/>
  <c r="U476" i="10"/>
  <c r="J476" i="10" s="1"/>
  <c r="K476" i="10" s="1"/>
  <c r="M475" i="10"/>
  <c r="U475" i="10"/>
  <c r="J475" i="10" s="1"/>
  <c r="K475" i="10" s="1"/>
  <c r="M474" i="10"/>
  <c r="U474" i="10"/>
  <c r="J474" i="10" s="1"/>
  <c r="K474" i="10" s="1"/>
  <c r="M473" i="10"/>
  <c r="U473" i="10"/>
  <c r="J473" i="10" s="1"/>
  <c r="M472" i="10"/>
  <c r="U472" i="10"/>
  <c r="J472" i="10" s="1"/>
  <c r="K472" i="10" s="1"/>
  <c r="M471" i="10"/>
  <c r="U471" i="10"/>
  <c r="J471" i="10" s="1"/>
  <c r="K471" i="10" s="1"/>
  <c r="M470" i="10"/>
  <c r="U470" i="10"/>
  <c r="J470" i="10" s="1"/>
  <c r="K470" i="10" s="1"/>
  <c r="M469" i="10"/>
  <c r="U469" i="10"/>
  <c r="J469" i="10" s="1"/>
  <c r="K469" i="10" s="1"/>
  <c r="M468" i="10"/>
  <c r="U468" i="10"/>
  <c r="J468" i="10" s="1"/>
  <c r="K468" i="10" s="1"/>
  <c r="M467" i="10"/>
  <c r="U467" i="10"/>
  <c r="J467" i="10" s="1"/>
  <c r="K467" i="10" s="1"/>
  <c r="M466" i="10"/>
  <c r="U466" i="10"/>
  <c r="J466" i="10" s="1"/>
  <c r="K466" i="10" s="1"/>
  <c r="M465" i="10"/>
  <c r="U465" i="10"/>
  <c r="J465" i="10" s="1"/>
  <c r="K465" i="10" s="1"/>
  <c r="M464" i="10"/>
  <c r="U464" i="10"/>
  <c r="J464" i="10" s="1"/>
  <c r="K464" i="10" s="1"/>
  <c r="M463" i="10"/>
  <c r="U463" i="10"/>
  <c r="J463" i="10" s="1"/>
  <c r="K463" i="10" s="1"/>
  <c r="M462" i="10"/>
  <c r="U462" i="10"/>
  <c r="J462" i="10" s="1"/>
  <c r="K462" i="10" s="1"/>
  <c r="U461" i="10"/>
  <c r="J461" i="10" s="1"/>
  <c r="M461" i="10"/>
  <c r="M460" i="10"/>
  <c r="U460" i="10"/>
  <c r="J460" i="10" s="1"/>
  <c r="M459" i="10"/>
  <c r="U459" i="10"/>
  <c r="J459" i="10" s="1"/>
  <c r="U458" i="10"/>
  <c r="J458" i="10" s="1"/>
  <c r="M458" i="10"/>
  <c r="M457" i="10"/>
  <c r="U457" i="10"/>
  <c r="J457" i="10" s="1"/>
  <c r="U456" i="10"/>
  <c r="J456" i="10" s="1"/>
  <c r="K456" i="10" s="1"/>
  <c r="M456" i="10"/>
  <c r="U455" i="10"/>
  <c r="J455" i="10" s="1"/>
  <c r="K455" i="10" s="1"/>
  <c r="M455" i="10"/>
  <c r="U454" i="10"/>
  <c r="J454" i="10" s="1"/>
  <c r="M454" i="10"/>
  <c r="M453" i="10"/>
  <c r="U453" i="10"/>
  <c r="J453" i="10" s="1"/>
  <c r="K453" i="10" s="1"/>
  <c r="U451" i="10"/>
  <c r="J451" i="10" s="1"/>
  <c r="K451" i="10" s="1"/>
  <c r="M451" i="10"/>
  <c r="U450" i="10"/>
  <c r="J450" i="10" s="1"/>
  <c r="M450" i="10"/>
  <c r="M449" i="10"/>
  <c r="U449" i="10"/>
  <c r="J449" i="10" s="1"/>
  <c r="K449" i="10" s="1"/>
  <c r="M448" i="10"/>
  <c r="U448" i="10"/>
  <c r="J448" i="10" s="1"/>
  <c r="K448" i="10" s="1"/>
  <c r="M447" i="10"/>
  <c r="U447" i="10"/>
  <c r="J447" i="10" s="1"/>
  <c r="K447" i="10" s="1"/>
  <c r="U446" i="10"/>
  <c r="J446" i="10" s="1"/>
  <c r="M446" i="10"/>
  <c r="M443" i="10"/>
  <c r="U443" i="10"/>
  <c r="J443" i="10" s="1"/>
  <c r="K443" i="10" s="1"/>
  <c r="U442" i="10"/>
  <c r="J442" i="10" s="1"/>
  <c r="M442" i="10"/>
  <c r="M441" i="10"/>
  <c r="U441" i="10"/>
  <c r="J441" i="10" s="1"/>
  <c r="K441" i="10" s="1"/>
  <c r="M440" i="10"/>
  <c r="U440" i="10"/>
  <c r="J440" i="10" s="1"/>
  <c r="K440" i="10" s="1"/>
  <c r="M439" i="10"/>
  <c r="U439" i="10"/>
  <c r="J439" i="10" s="1"/>
  <c r="K439" i="10" s="1"/>
  <c r="M438" i="10"/>
  <c r="U438" i="10"/>
  <c r="J438" i="10" s="1"/>
  <c r="K438" i="10" s="1"/>
  <c r="M437" i="10"/>
  <c r="U437" i="10"/>
  <c r="J437" i="10" s="1"/>
  <c r="K437" i="10" s="1"/>
  <c r="M436" i="10"/>
  <c r="U436" i="10"/>
  <c r="J436" i="10" s="1"/>
  <c r="K436" i="10" s="1"/>
  <c r="M435" i="10"/>
  <c r="U435" i="10"/>
  <c r="J435" i="10" s="1"/>
  <c r="K435" i="10" s="1"/>
  <c r="M434" i="10"/>
  <c r="U434" i="10"/>
  <c r="J434" i="10" s="1"/>
  <c r="K434" i="10" s="1"/>
  <c r="M433" i="10"/>
  <c r="U433" i="10"/>
  <c r="J433" i="10" s="1"/>
  <c r="K433" i="10" s="1"/>
  <c r="M432" i="10"/>
  <c r="U432" i="10"/>
  <c r="J432" i="10" s="1"/>
  <c r="K432" i="10" s="1"/>
  <c r="M431" i="10"/>
  <c r="U431" i="10"/>
  <c r="J431" i="10" s="1"/>
  <c r="K431" i="10" s="1"/>
  <c r="M430" i="10"/>
  <c r="U430" i="10"/>
  <c r="J430" i="10" s="1"/>
  <c r="K430" i="10" s="1"/>
  <c r="M429" i="10"/>
  <c r="U429" i="10"/>
  <c r="J429" i="10" s="1"/>
  <c r="K429" i="10" s="1"/>
  <c r="M428" i="10"/>
  <c r="U428" i="10"/>
  <c r="J428" i="10" s="1"/>
  <c r="K428" i="10" s="1"/>
  <c r="M427" i="10"/>
  <c r="U427" i="10"/>
  <c r="J427" i="10" s="1"/>
  <c r="K427" i="10" s="1"/>
  <c r="M426" i="10"/>
  <c r="U426" i="10"/>
  <c r="J426" i="10" s="1"/>
  <c r="K426" i="10" s="1"/>
  <c r="M425" i="10"/>
  <c r="U425" i="10"/>
  <c r="J425" i="10" s="1"/>
  <c r="K425" i="10" s="1"/>
  <c r="M424" i="10"/>
  <c r="U424" i="10"/>
  <c r="J424" i="10" s="1"/>
  <c r="K424" i="10" s="1"/>
  <c r="M423" i="10"/>
  <c r="U423" i="10"/>
  <c r="J423" i="10" s="1"/>
  <c r="K423" i="10" s="1"/>
  <c r="M422" i="10"/>
  <c r="U422" i="10"/>
  <c r="J422" i="10" s="1"/>
  <c r="K422" i="10" s="1"/>
  <c r="M421" i="10"/>
  <c r="U421" i="10"/>
  <c r="J421" i="10" s="1"/>
  <c r="K421" i="10" s="1"/>
  <c r="M420" i="10"/>
  <c r="U420" i="10"/>
  <c r="J420" i="10" s="1"/>
  <c r="K420" i="10" s="1"/>
  <c r="U417" i="10"/>
  <c r="J417" i="10" s="1"/>
  <c r="M417" i="10"/>
  <c r="M416" i="10"/>
  <c r="U416" i="10"/>
  <c r="J416" i="10" s="1"/>
  <c r="K416" i="10" s="1"/>
  <c r="M415" i="10"/>
  <c r="U415" i="10"/>
  <c r="J415" i="10" s="1"/>
  <c r="K415" i="10" s="1"/>
  <c r="M414" i="10"/>
  <c r="U414" i="10"/>
  <c r="J414" i="10" s="1"/>
  <c r="K414" i="10" s="1"/>
  <c r="M413" i="10"/>
  <c r="U413" i="10"/>
  <c r="J413" i="10" s="1"/>
  <c r="K413" i="10" s="1"/>
  <c r="M412" i="10"/>
  <c r="U412" i="10"/>
  <c r="J412" i="10" s="1"/>
  <c r="K412" i="10" s="1"/>
  <c r="M411" i="10"/>
  <c r="U411" i="10"/>
  <c r="J411" i="10" s="1"/>
  <c r="K411" i="10" s="1"/>
  <c r="M410" i="10"/>
  <c r="U410" i="10"/>
  <c r="J410" i="10" s="1"/>
  <c r="K410" i="10" s="1"/>
  <c r="M409" i="10"/>
  <c r="U409" i="10"/>
  <c r="J409" i="10" s="1"/>
  <c r="K409" i="10" s="1"/>
  <c r="U408" i="10"/>
  <c r="J408" i="10" s="1"/>
  <c r="M408" i="10"/>
  <c r="M407" i="10"/>
  <c r="U407" i="10"/>
  <c r="J407" i="10" s="1"/>
  <c r="K407" i="10" s="1"/>
  <c r="U406" i="10"/>
  <c r="J406" i="10" s="1"/>
  <c r="M406" i="10"/>
  <c r="M405" i="10"/>
  <c r="U405" i="10"/>
  <c r="J405" i="10" s="1"/>
  <c r="K405" i="10" s="1"/>
  <c r="M404" i="10"/>
  <c r="U404" i="10"/>
  <c r="J404" i="10" s="1"/>
  <c r="K404" i="10" s="1"/>
  <c r="M403" i="10"/>
  <c r="U403" i="10"/>
  <c r="J403" i="10" s="1"/>
  <c r="K403" i="10" s="1"/>
  <c r="M402" i="10"/>
  <c r="U402" i="10"/>
  <c r="J402" i="10" s="1"/>
  <c r="K402" i="10" s="1"/>
  <c r="U401" i="10"/>
  <c r="J401" i="10" s="1"/>
  <c r="M401" i="10"/>
  <c r="M400" i="10"/>
  <c r="U400" i="10"/>
  <c r="J400" i="10" s="1"/>
  <c r="K400" i="10" s="1"/>
  <c r="U397" i="10"/>
  <c r="J397" i="10" s="1"/>
  <c r="M397" i="10"/>
  <c r="M395" i="10"/>
  <c r="U395" i="10"/>
  <c r="J395" i="10" s="1"/>
  <c r="K395" i="10" s="1"/>
  <c r="U394" i="10"/>
  <c r="J394" i="10" s="1"/>
  <c r="M394" i="10"/>
  <c r="M393" i="10"/>
  <c r="U393" i="10"/>
  <c r="J393" i="10" s="1"/>
  <c r="K393" i="10" s="1"/>
  <c r="U392" i="10"/>
  <c r="J392" i="10" s="1"/>
  <c r="M392" i="10"/>
  <c r="M390" i="10"/>
  <c r="U390" i="10"/>
  <c r="J390" i="10" s="1"/>
  <c r="K390" i="10" s="1"/>
  <c r="U389" i="10"/>
  <c r="J389" i="10" s="1"/>
  <c r="M389" i="10"/>
  <c r="U388" i="10"/>
  <c r="J388" i="10" s="1"/>
  <c r="M388" i="10"/>
  <c r="U387" i="10"/>
  <c r="J387" i="10" s="1"/>
  <c r="K387" i="10" s="1"/>
  <c r="M387" i="10"/>
  <c r="U386" i="10"/>
  <c r="J386" i="10" s="1"/>
  <c r="M386" i="10"/>
  <c r="U385" i="10"/>
  <c r="J385" i="10" s="1"/>
  <c r="K385" i="10" s="1"/>
  <c r="M385" i="10"/>
  <c r="U384" i="10"/>
  <c r="J384" i="10" s="1"/>
  <c r="M384" i="10"/>
  <c r="U383" i="10"/>
  <c r="J383" i="10" s="1"/>
  <c r="M383" i="10"/>
  <c r="M382" i="10"/>
  <c r="U382" i="10"/>
  <c r="J382" i="10" s="1"/>
  <c r="K382" i="10" s="1"/>
  <c r="M381" i="10"/>
  <c r="U381" i="10"/>
  <c r="J381" i="10" s="1"/>
  <c r="K381" i="10" s="1"/>
  <c r="U380" i="10"/>
  <c r="J380" i="10" s="1"/>
  <c r="M380" i="10"/>
  <c r="M379" i="10"/>
  <c r="U379" i="10"/>
  <c r="J379" i="10" s="1"/>
  <c r="K379" i="10" s="1"/>
  <c r="U378" i="10"/>
  <c r="J378" i="10" s="1"/>
  <c r="M378" i="10"/>
  <c r="M377" i="10"/>
  <c r="U377" i="10"/>
  <c r="J377" i="10" s="1"/>
  <c r="K377" i="10" s="1"/>
  <c r="U372" i="10"/>
  <c r="J372" i="10" s="1"/>
  <c r="M372" i="10"/>
  <c r="U371" i="10"/>
  <c r="J371" i="10" s="1"/>
  <c r="M371" i="10"/>
  <c r="M370" i="10"/>
  <c r="U370" i="10"/>
  <c r="J370" i="10" s="1"/>
  <c r="K370" i="10" s="1"/>
  <c r="M369" i="10"/>
  <c r="U369" i="10"/>
  <c r="J369" i="10" s="1"/>
  <c r="K369" i="10" s="1"/>
  <c r="M368" i="10"/>
  <c r="U368" i="10"/>
  <c r="J368" i="10" s="1"/>
  <c r="K368" i="10" s="1"/>
  <c r="M367" i="10"/>
  <c r="U367" i="10"/>
  <c r="J367" i="10" s="1"/>
  <c r="K367" i="10" s="1"/>
  <c r="M366" i="10"/>
  <c r="U366" i="10"/>
  <c r="J366" i="10" s="1"/>
  <c r="K366" i="10" s="1"/>
  <c r="M365" i="10"/>
  <c r="U365" i="10"/>
  <c r="J365" i="10" s="1"/>
  <c r="K365" i="10" s="1"/>
  <c r="M364" i="10"/>
  <c r="U364" i="10"/>
  <c r="J364" i="10" s="1"/>
  <c r="K364" i="10" s="1"/>
  <c r="M363" i="10"/>
  <c r="U363" i="10"/>
  <c r="J363" i="10" s="1"/>
  <c r="K363" i="10" s="1"/>
  <c r="M362" i="10"/>
  <c r="U362" i="10"/>
  <c r="J362" i="10" s="1"/>
  <c r="K362" i="10" s="1"/>
  <c r="M361" i="10"/>
  <c r="U361" i="10"/>
  <c r="J361" i="10" s="1"/>
  <c r="K361" i="10" s="1"/>
  <c r="M360" i="10"/>
  <c r="U360" i="10"/>
  <c r="J360" i="10" s="1"/>
  <c r="K360" i="10" s="1"/>
  <c r="M359" i="10"/>
  <c r="U359" i="10"/>
  <c r="J359" i="10" s="1"/>
  <c r="K359" i="10" s="1"/>
  <c r="M358" i="10"/>
  <c r="U358" i="10"/>
  <c r="J358" i="10" s="1"/>
  <c r="K358" i="10" s="1"/>
  <c r="M357" i="10"/>
  <c r="U357" i="10"/>
  <c r="J357" i="10" s="1"/>
  <c r="K357" i="10" s="1"/>
  <c r="M356" i="10"/>
  <c r="U356" i="10"/>
  <c r="J356" i="10" s="1"/>
  <c r="K356" i="10" s="1"/>
  <c r="M355" i="10"/>
  <c r="U355" i="10"/>
  <c r="J355" i="10" s="1"/>
  <c r="K355" i="10" s="1"/>
  <c r="M354" i="10"/>
  <c r="U354" i="10"/>
  <c r="J354" i="10" s="1"/>
  <c r="K354" i="10" s="1"/>
  <c r="M353" i="10"/>
  <c r="U353" i="10"/>
  <c r="J353" i="10" s="1"/>
  <c r="K353" i="10" s="1"/>
  <c r="M352" i="10"/>
  <c r="U352" i="10"/>
  <c r="J352" i="10" s="1"/>
  <c r="K352" i="10" s="1"/>
  <c r="M351" i="10"/>
  <c r="U351" i="10"/>
  <c r="J351" i="10" s="1"/>
  <c r="K351" i="10" s="1"/>
  <c r="M350" i="10"/>
  <c r="U350" i="10"/>
  <c r="J350" i="10" s="1"/>
  <c r="K350" i="10" s="1"/>
  <c r="M349" i="10"/>
  <c r="U349" i="10"/>
  <c r="J349" i="10" s="1"/>
  <c r="K349" i="10" s="1"/>
  <c r="M348" i="10"/>
  <c r="U348" i="10"/>
  <c r="J348" i="10" s="1"/>
  <c r="K348" i="10" s="1"/>
  <c r="M347" i="10"/>
  <c r="U347" i="10"/>
  <c r="J347" i="10" s="1"/>
  <c r="K347" i="10" s="1"/>
  <c r="M346" i="10"/>
  <c r="U346" i="10"/>
  <c r="J346" i="10" s="1"/>
  <c r="K346" i="10" s="1"/>
  <c r="M345" i="10"/>
  <c r="U345" i="10"/>
  <c r="J345" i="10" s="1"/>
  <c r="K345" i="10" s="1"/>
  <c r="M344" i="10"/>
  <c r="U344" i="10"/>
  <c r="J344" i="10" s="1"/>
  <c r="K344" i="10" s="1"/>
  <c r="M343" i="10"/>
  <c r="U343" i="10"/>
  <c r="J343" i="10" s="1"/>
  <c r="K343" i="10" s="1"/>
  <c r="M342" i="10"/>
  <c r="U342" i="10"/>
  <c r="J342" i="10" s="1"/>
  <c r="K342" i="10" s="1"/>
  <c r="M341" i="10"/>
  <c r="U341" i="10"/>
  <c r="J341" i="10" s="1"/>
  <c r="K341" i="10" s="1"/>
  <c r="M340" i="10"/>
  <c r="U340" i="10"/>
  <c r="J340" i="10" s="1"/>
  <c r="M339" i="10"/>
  <c r="U339" i="10"/>
  <c r="J339" i="10" s="1"/>
  <c r="K339" i="10" s="1"/>
  <c r="M338" i="10"/>
  <c r="U338" i="10"/>
  <c r="J338" i="10" s="1"/>
  <c r="K338" i="10" s="1"/>
  <c r="M337" i="10"/>
  <c r="U337" i="10"/>
  <c r="J337" i="10" s="1"/>
  <c r="K337" i="10" s="1"/>
  <c r="M336" i="10"/>
  <c r="U336" i="10"/>
  <c r="J336" i="10" s="1"/>
  <c r="M335" i="10"/>
  <c r="U335" i="10"/>
  <c r="J335" i="10" s="1"/>
  <c r="K335" i="10" s="1"/>
  <c r="M334" i="10"/>
  <c r="U334" i="10"/>
  <c r="J334" i="10" s="1"/>
  <c r="K334" i="10" s="1"/>
  <c r="M333" i="10"/>
  <c r="U333" i="10"/>
  <c r="J333" i="10" s="1"/>
  <c r="K333" i="10" s="1"/>
  <c r="M332" i="10"/>
  <c r="U332" i="10"/>
  <c r="J332" i="10" s="1"/>
  <c r="K332" i="10" s="1"/>
  <c r="M331" i="10"/>
  <c r="U331" i="10"/>
  <c r="J331" i="10" s="1"/>
  <c r="K331" i="10" s="1"/>
  <c r="M330" i="10"/>
  <c r="U330" i="10"/>
  <c r="J330" i="10" s="1"/>
  <c r="M329" i="10"/>
  <c r="U329" i="10"/>
  <c r="J329" i="10" s="1"/>
  <c r="K329" i="10" s="1"/>
  <c r="M328" i="10"/>
  <c r="U328" i="10"/>
  <c r="J328" i="10" s="1"/>
  <c r="K328" i="10" s="1"/>
  <c r="M327" i="10"/>
  <c r="U327" i="10"/>
  <c r="J327" i="10" s="1"/>
  <c r="K327" i="10" s="1"/>
  <c r="M326" i="10"/>
  <c r="U326" i="10"/>
  <c r="J326" i="10" s="1"/>
  <c r="M325" i="10"/>
  <c r="U325" i="10"/>
  <c r="J325" i="10" s="1"/>
  <c r="K325" i="10" s="1"/>
  <c r="M324" i="10"/>
  <c r="U324" i="10"/>
  <c r="J324" i="10" s="1"/>
  <c r="M323" i="10"/>
  <c r="U323" i="10"/>
  <c r="J323" i="10" s="1"/>
  <c r="K323" i="10" s="1"/>
  <c r="M322" i="10"/>
  <c r="U322" i="10"/>
  <c r="J322" i="10" s="1"/>
  <c r="M321" i="10"/>
  <c r="U321" i="10"/>
  <c r="J321" i="10" s="1"/>
  <c r="M320" i="10"/>
  <c r="U320" i="10"/>
  <c r="J320" i="10" s="1"/>
  <c r="K320" i="10" s="1"/>
  <c r="M319" i="10"/>
  <c r="U319" i="10"/>
  <c r="J319" i="10" s="1"/>
  <c r="K319" i="10" s="1"/>
  <c r="M318" i="10"/>
  <c r="U318" i="10"/>
  <c r="J318" i="10" s="1"/>
  <c r="M317" i="10"/>
  <c r="U317" i="10"/>
  <c r="J317" i="10" s="1"/>
  <c r="K317" i="10" s="1"/>
  <c r="M316" i="10"/>
  <c r="U316" i="10"/>
  <c r="J316" i="10" s="1"/>
  <c r="K316" i="10" s="1"/>
  <c r="M315" i="10"/>
  <c r="U315" i="10"/>
  <c r="J315" i="10" s="1"/>
  <c r="M314" i="10"/>
  <c r="U314" i="10"/>
  <c r="J314" i="10" s="1"/>
  <c r="K314" i="10" s="1"/>
  <c r="U313" i="10"/>
  <c r="J313" i="10" s="1"/>
  <c r="M313" i="10"/>
  <c r="M312" i="10"/>
  <c r="U312" i="10"/>
  <c r="J312" i="10" s="1"/>
  <c r="M311" i="10"/>
  <c r="U311" i="10"/>
  <c r="J311" i="10" s="1"/>
  <c r="M310" i="10"/>
  <c r="U310" i="10"/>
  <c r="J310" i="10" s="1"/>
  <c r="K310" i="10" s="1"/>
  <c r="M309" i="10"/>
  <c r="U309" i="10"/>
  <c r="J309" i="10" s="1"/>
  <c r="K309" i="10" s="1"/>
  <c r="M308" i="10"/>
  <c r="U308" i="10"/>
  <c r="J308" i="10" s="1"/>
  <c r="K308" i="10" s="1"/>
  <c r="M307" i="10"/>
  <c r="U307" i="10"/>
  <c r="J307" i="10" s="1"/>
  <c r="K307" i="10" s="1"/>
  <c r="M306" i="10"/>
  <c r="U306" i="10"/>
  <c r="J306" i="10" s="1"/>
  <c r="M305" i="10"/>
  <c r="U305" i="10"/>
  <c r="J305" i="10" s="1"/>
  <c r="K305" i="10" s="1"/>
  <c r="M304" i="10"/>
  <c r="U304" i="10"/>
  <c r="J304" i="10" s="1"/>
  <c r="K304" i="10" s="1"/>
  <c r="M303" i="10"/>
  <c r="U303" i="10"/>
  <c r="J303" i="10" s="1"/>
  <c r="K303" i="10" s="1"/>
  <c r="M302" i="10"/>
  <c r="U302" i="10"/>
  <c r="J302" i="10" s="1"/>
  <c r="M301" i="10"/>
  <c r="U301" i="10"/>
  <c r="J301" i="10" s="1"/>
  <c r="K301" i="10" s="1"/>
  <c r="M300" i="10"/>
  <c r="U300" i="10"/>
  <c r="J300" i="10" s="1"/>
  <c r="K300" i="10" s="1"/>
  <c r="M299" i="10"/>
  <c r="U299" i="10"/>
  <c r="J299" i="10" s="1"/>
  <c r="K299" i="10" s="1"/>
  <c r="M298" i="10"/>
  <c r="U298" i="10"/>
  <c r="J298" i="10" s="1"/>
  <c r="K298" i="10" s="1"/>
  <c r="M297" i="10"/>
  <c r="U297" i="10"/>
  <c r="J297" i="10" s="1"/>
  <c r="K297" i="10" s="1"/>
  <c r="M296" i="10"/>
  <c r="U296" i="10"/>
  <c r="J296" i="10" s="1"/>
  <c r="K296" i="10" s="1"/>
  <c r="M295" i="10"/>
  <c r="U295" i="10"/>
  <c r="J295" i="10" s="1"/>
  <c r="M294" i="10"/>
  <c r="U294" i="10"/>
  <c r="J294" i="10" s="1"/>
  <c r="K294" i="10" s="1"/>
  <c r="M293" i="10"/>
  <c r="U293" i="10"/>
  <c r="J293" i="10" s="1"/>
  <c r="K293" i="10" s="1"/>
  <c r="M292" i="10"/>
  <c r="U292" i="10"/>
  <c r="J292" i="10" s="1"/>
  <c r="K292" i="10" s="1"/>
  <c r="M291" i="10"/>
  <c r="U291" i="10"/>
  <c r="J291" i="10" s="1"/>
  <c r="K291" i="10" s="1"/>
  <c r="M290" i="10"/>
  <c r="U290" i="10"/>
  <c r="J290" i="10" s="1"/>
  <c r="K290" i="10" s="1"/>
  <c r="M289" i="10"/>
  <c r="U289" i="10"/>
  <c r="J289" i="10" s="1"/>
  <c r="K289" i="10" s="1"/>
  <c r="M288" i="10"/>
  <c r="U288" i="10"/>
  <c r="J288" i="10" s="1"/>
  <c r="K288" i="10" s="1"/>
  <c r="M287" i="10"/>
  <c r="U287" i="10"/>
  <c r="J287" i="10" s="1"/>
  <c r="K287" i="10" s="1"/>
  <c r="M286" i="10"/>
  <c r="U286" i="10"/>
  <c r="J286" i="10" s="1"/>
  <c r="M285" i="10"/>
  <c r="U285" i="10"/>
  <c r="J285" i="10" s="1"/>
  <c r="K285" i="10" s="1"/>
  <c r="M284" i="10"/>
  <c r="U284" i="10"/>
  <c r="J284" i="10" s="1"/>
  <c r="K284" i="10" s="1"/>
  <c r="M283" i="10"/>
  <c r="U283" i="10"/>
  <c r="J283" i="10" s="1"/>
  <c r="K283" i="10" s="1"/>
  <c r="M282" i="10"/>
  <c r="U282" i="10"/>
  <c r="J282" i="10" s="1"/>
  <c r="K282" i="10" s="1"/>
  <c r="M281" i="10"/>
  <c r="U281" i="10"/>
  <c r="J281" i="10" s="1"/>
  <c r="K281" i="10" s="1"/>
  <c r="M280" i="10"/>
  <c r="U280" i="10"/>
  <c r="J280" i="10" s="1"/>
  <c r="K280" i="10" s="1"/>
  <c r="M279" i="10"/>
  <c r="U279" i="10"/>
  <c r="J279" i="10" s="1"/>
  <c r="K279" i="10" s="1"/>
  <c r="M278" i="10"/>
  <c r="U278" i="10"/>
  <c r="J278" i="10" s="1"/>
  <c r="K278" i="10" s="1"/>
  <c r="M277" i="10"/>
  <c r="U277" i="10"/>
  <c r="J277" i="10" s="1"/>
  <c r="K277" i="10" s="1"/>
  <c r="M276" i="10"/>
  <c r="U276" i="10"/>
  <c r="J276" i="10" s="1"/>
  <c r="K276" i="10" s="1"/>
  <c r="M275" i="10"/>
  <c r="U275" i="10"/>
  <c r="J275" i="10" s="1"/>
  <c r="K275" i="10" s="1"/>
  <c r="M274" i="10"/>
  <c r="U274" i="10"/>
  <c r="J274" i="10" s="1"/>
  <c r="K274" i="10" s="1"/>
  <c r="M273" i="10"/>
  <c r="U273" i="10"/>
  <c r="J273" i="10" s="1"/>
  <c r="K273" i="10" s="1"/>
  <c r="M272" i="10"/>
  <c r="U272" i="10"/>
  <c r="J272" i="10" s="1"/>
  <c r="K272" i="10" s="1"/>
  <c r="M271" i="10"/>
  <c r="U271" i="10"/>
  <c r="J271" i="10" s="1"/>
  <c r="K271" i="10" s="1"/>
  <c r="M270" i="10"/>
  <c r="U270" i="10"/>
  <c r="J270" i="10" s="1"/>
  <c r="K270" i="10" s="1"/>
  <c r="U269" i="10"/>
  <c r="J269" i="10" s="1"/>
  <c r="M269" i="10"/>
  <c r="U268" i="10"/>
  <c r="J268" i="10" s="1"/>
  <c r="M268" i="10"/>
  <c r="U267" i="10"/>
  <c r="J267" i="10" s="1"/>
  <c r="M267" i="10"/>
  <c r="U266" i="10"/>
  <c r="J266" i="10" s="1"/>
  <c r="M266" i="10"/>
  <c r="U265" i="10"/>
  <c r="J265" i="10" s="1"/>
  <c r="M265" i="10"/>
  <c r="U264" i="10"/>
  <c r="J264" i="10" s="1"/>
  <c r="P264" i="10" s="1"/>
  <c r="M264" i="10"/>
  <c r="U263" i="10"/>
  <c r="J263" i="10" s="1"/>
  <c r="M263" i="10"/>
  <c r="U262" i="10"/>
  <c r="J262" i="10" s="1"/>
  <c r="P262" i="10" s="1"/>
  <c r="M262" i="10"/>
  <c r="U261" i="10"/>
  <c r="J261" i="10" s="1"/>
  <c r="M261" i="10"/>
  <c r="U260" i="10"/>
  <c r="J260" i="10" s="1"/>
  <c r="M260" i="10"/>
  <c r="U259" i="10"/>
  <c r="J259" i="10" s="1"/>
  <c r="M259" i="10"/>
  <c r="U258" i="10"/>
  <c r="J258" i="10" s="1"/>
  <c r="M258" i="10"/>
  <c r="U257" i="10"/>
  <c r="J257" i="10" s="1"/>
  <c r="M257" i="10"/>
  <c r="U256" i="10"/>
  <c r="J256" i="10" s="1"/>
  <c r="M256" i="10"/>
  <c r="U255" i="10"/>
  <c r="J255" i="10" s="1"/>
  <c r="M255" i="10"/>
  <c r="U254" i="10"/>
  <c r="J254" i="10" s="1"/>
  <c r="P254" i="10" s="1"/>
  <c r="M254" i="10"/>
  <c r="U253" i="10"/>
  <c r="J253" i="10" s="1"/>
  <c r="M253" i="10"/>
  <c r="U252" i="10"/>
  <c r="J252" i="10" s="1"/>
  <c r="M252" i="10"/>
  <c r="U251" i="10"/>
  <c r="J251" i="10" s="1"/>
  <c r="M251" i="10"/>
  <c r="U250" i="10"/>
  <c r="J250" i="10" s="1"/>
  <c r="P250" i="10" s="1"/>
  <c r="M250" i="10"/>
  <c r="U249" i="10"/>
  <c r="J249" i="10" s="1"/>
  <c r="M249" i="10"/>
  <c r="U248" i="10"/>
  <c r="J248" i="10" s="1"/>
  <c r="M248" i="10"/>
  <c r="U247" i="10"/>
  <c r="J247" i="10" s="1"/>
  <c r="M247" i="10"/>
  <c r="U246" i="10"/>
  <c r="J246" i="10" s="1"/>
  <c r="M246" i="10"/>
  <c r="U245" i="10"/>
  <c r="J245" i="10" s="1"/>
  <c r="P245" i="10" s="1"/>
  <c r="M245" i="10"/>
  <c r="U244" i="10"/>
  <c r="J244" i="10" s="1"/>
  <c r="M244" i="10"/>
  <c r="U243" i="10"/>
  <c r="J243" i="10" s="1"/>
  <c r="P243" i="10" s="1"/>
  <c r="M243" i="10"/>
  <c r="U242" i="10"/>
  <c r="J242" i="10" s="1"/>
  <c r="M242" i="10"/>
  <c r="U241" i="10"/>
  <c r="J241" i="10" s="1"/>
  <c r="P241" i="10" s="1"/>
  <c r="M241" i="10"/>
  <c r="U240" i="10"/>
  <c r="J240" i="10" s="1"/>
  <c r="M240" i="10"/>
  <c r="U239" i="10"/>
  <c r="J239" i="10" s="1"/>
  <c r="M239" i="10"/>
  <c r="U238" i="10"/>
  <c r="J238" i="10" s="1"/>
  <c r="M238" i="10"/>
  <c r="U237" i="10"/>
  <c r="J237" i="10" s="1"/>
  <c r="P237" i="10" s="1"/>
  <c r="M237" i="10"/>
  <c r="U236" i="10"/>
  <c r="J236" i="10" s="1"/>
  <c r="M236" i="10"/>
  <c r="U235" i="10"/>
  <c r="J235" i="10" s="1"/>
  <c r="P235" i="10" s="1"/>
  <c r="M235" i="10"/>
  <c r="U234" i="10"/>
  <c r="J234" i="10" s="1"/>
  <c r="M234" i="10"/>
  <c r="U233" i="10"/>
  <c r="J233" i="10" s="1"/>
  <c r="M233" i="10"/>
  <c r="U232" i="10"/>
  <c r="J232" i="10" s="1"/>
  <c r="M232" i="10"/>
  <c r="U231" i="10"/>
  <c r="J231" i="10" s="1"/>
  <c r="M231" i="10"/>
  <c r="U230" i="10"/>
  <c r="J230" i="10" s="1"/>
  <c r="M230" i="10"/>
  <c r="U229" i="10"/>
  <c r="J229" i="10" s="1"/>
  <c r="M229" i="10"/>
  <c r="U228" i="10"/>
  <c r="J228" i="10" s="1"/>
  <c r="P228" i="10" s="1"/>
  <c r="M228" i="10"/>
  <c r="U227" i="10"/>
  <c r="J227" i="10" s="1"/>
  <c r="M227" i="10"/>
  <c r="U226" i="10"/>
  <c r="J226" i="10" s="1"/>
  <c r="M226" i="10"/>
  <c r="U225" i="10"/>
  <c r="J225" i="10" s="1"/>
  <c r="P225" i="10" s="1"/>
  <c r="M225" i="10"/>
  <c r="U224" i="10"/>
  <c r="J224" i="10" s="1"/>
  <c r="M224" i="10"/>
  <c r="U223" i="10"/>
  <c r="J223" i="10" s="1"/>
  <c r="P223" i="10" s="1"/>
  <c r="M223" i="10"/>
  <c r="U222" i="10"/>
  <c r="J222" i="10" s="1"/>
  <c r="M222" i="10"/>
  <c r="U221" i="10"/>
  <c r="J221" i="10" s="1"/>
  <c r="M221" i="10"/>
  <c r="U220" i="10"/>
  <c r="J220" i="10" s="1"/>
  <c r="M220" i="10"/>
  <c r="U219" i="10"/>
  <c r="J219" i="10" s="1"/>
  <c r="M219" i="10"/>
  <c r="U218" i="10"/>
  <c r="J218" i="10" s="1"/>
  <c r="M218" i="10"/>
  <c r="U217" i="10"/>
  <c r="J217" i="10" s="1"/>
  <c r="P217" i="10" s="1"/>
  <c r="M217" i="10"/>
  <c r="U216" i="10"/>
  <c r="J216" i="10" s="1"/>
  <c r="M216" i="10"/>
  <c r="U215" i="10"/>
  <c r="J215" i="10" s="1"/>
  <c r="M215" i="10"/>
  <c r="U214" i="10"/>
  <c r="J214" i="10" s="1"/>
  <c r="P214" i="10" s="1"/>
  <c r="M214" i="10"/>
  <c r="U213" i="10"/>
  <c r="J213" i="10" s="1"/>
  <c r="M213" i="10"/>
  <c r="U212" i="10"/>
  <c r="J212" i="10" s="1"/>
  <c r="P212" i="10" s="1"/>
  <c r="M212" i="10"/>
  <c r="U211" i="10"/>
  <c r="J211" i="10" s="1"/>
  <c r="P211" i="10" s="1"/>
  <c r="M211" i="10"/>
  <c r="U210" i="10"/>
  <c r="J210" i="10" s="1"/>
  <c r="M210" i="10"/>
  <c r="U209" i="10"/>
  <c r="J209" i="10" s="1"/>
  <c r="M209" i="10"/>
  <c r="U208" i="10"/>
  <c r="J208" i="10" s="1"/>
  <c r="P208" i="10" s="1"/>
  <c r="M208" i="10"/>
  <c r="U207" i="10"/>
  <c r="J207" i="10" s="1"/>
  <c r="P207" i="10" s="1"/>
  <c r="M207" i="10"/>
  <c r="U206" i="10"/>
  <c r="J206" i="10" s="1"/>
  <c r="P206" i="10" s="1"/>
  <c r="M206" i="10"/>
  <c r="U205" i="10"/>
  <c r="J205" i="10" s="1"/>
  <c r="M205" i="10"/>
  <c r="U204" i="10"/>
  <c r="J204" i="10" s="1"/>
  <c r="P204" i="10" s="1"/>
  <c r="M204" i="10"/>
  <c r="U203" i="10"/>
  <c r="J203" i="10" s="1"/>
  <c r="M203" i="10"/>
  <c r="U202" i="10"/>
  <c r="J202" i="10" s="1"/>
  <c r="P202" i="10" s="1"/>
  <c r="M202" i="10"/>
  <c r="U201" i="10"/>
  <c r="J201" i="10" s="1"/>
  <c r="M201" i="10"/>
  <c r="U200" i="10"/>
  <c r="J200" i="10" s="1"/>
  <c r="P200" i="10" s="1"/>
  <c r="M200" i="10"/>
  <c r="U199" i="10"/>
  <c r="J199" i="10" s="1"/>
  <c r="P199" i="10" s="1"/>
  <c r="M199" i="10"/>
  <c r="U198" i="10"/>
  <c r="J198" i="10" s="1"/>
  <c r="P198" i="10" s="1"/>
  <c r="M198" i="10"/>
  <c r="U197" i="10"/>
  <c r="J197" i="10" s="1"/>
  <c r="M197" i="10"/>
  <c r="U196" i="10"/>
  <c r="J196" i="10" s="1"/>
  <c r="P196" i="10" s="1"/>
  <c r="M196" i="10"/>
  <c r="U195" i="10"/>
  <c r="J195" i="10" s="1"/>
  <c r="P195" i="10" s="1"/>
  <c r="M195" i="10"/>
  <c r="U194" i="10"/>
  <c r="J194" i="10" s="1"/>
  <c r="M194" i="10"/>
  <c r="U193" i="10"/>
  <c r="J193" i="10" s="1"/>
  <c r="M193" i="10"/>
  <c r="U192" i="10"/>
  <c r="J192" i="10" s="1"/>
  <c r="P192" i="10" s="1"/>
  <c r="M192" i="10"/>
  <c r="U191" i="10"/>
  <c r="J191" i="10" s="1"/>
  <c r="M191" i="10"/>
  <c r="U190" i="10"/>
  <c r="J190" i="10" s="1"/>
  <c r="M190" i="10"/>
  <c r="U189" i="10"/>
  <c r="J189" i="10" s="1"/>
  <c r="P189" i="10" s="1"/>
  <c r="M189" i="10"/>
  <c r="U188" i="10"/>
  <c r="J188" i="10" s="1"/>
  <c r="P188" i="10" s="1"/>
  <c r="M188" i="10"/>
  <c r="U187" i="10"/>
  <c r="J187" i="10" s="1"/>
  <c r="M187" i="10"/>
  <c r="U186" i="10"/>
  <c r="J186" i="10" s="1"/>
  <c r="P186" i="10" s="1"/>
  <c r="M186" i="10"/>
  <c r="U185" i="10"/>
  <c r="J185" i="10" s="1"/>
  <c r="M185" i="10"/>
  <c r="U184" i="10"/>
  <c r="J184" i="10" s="1"/>
  <c r="P184" i="10" s="1"/>
  <c r="M184" i="10"/>
  <c r="U183" i="10"/>
  <c r="J183" i="10" s="1"/>
  <c r="P183" i="10" s="1"/>
  <c r="M183" i="10"/>
  <c r="U182" i="10"/>
  <c r="J182" i="10" s="1"/>
  <c r="M182" i="10"/>
  <c r="U181" i="10"/>
  <c r="J181" i="10" s="1"/>
  <c r="P181" i="10" s="1"/>
  <c r="M181" i="10"/>
  <c r="U180" i="10"/>
  <c r="J180" i="10" s="1"/>
  <c r="M180" i="10"/>
  <c r="U179" i="10"/>
  <c r="J179" i="10" s="1"/>
  <c r="P179" i="10" s="1"/>
  <c r="M179" i="10"/>
  <c r="U178" i="10"/>
  <c r="J178" i="10" s="1"/>
  <c r="M178" i="10"/>
  <c r="U177" i="10"/>
  <c r="J177" i="10" s="1"/>
  <c r="P177" i="10" s="1"/>
  <c r="M177" i="10"/>
  <c r="U176" i="10"/>
  <c r="J176" i="10" s="1"/>
  <c r="M176" i="10"/>
  <c r="U175" i="10"/>
  <c r="J175" i="10" s="1"/>
  <c r="M175" i="10"/>
  <c r="U174" i="10"/>
  <c r="J174" i="10" s="1"/>
  <c r="M174" i="10"/>
  <c r="U173" i="10"/>
  <c r="J173" i="10" s="1"/>
  <c r="P173" i="10" s="1"/>
  <c r="M173" i="10"/>
  <c r="U172" i="10"/>
  <c r="J172" i="10" s="1"/>
  <c r="M172" i="10"/>
  <c r="U171" i="10"/>
  <c r="J171" i="10" s="1"/>
  <c r="P171" i="10" s="1"/>
  <c r="M171" i="10"/>
  <c r="U170" i="10"/>
  <c r="J170" i="10" s="1"/>
  <c r="M170" i="10"/>
  <c r="U169" i="10"/>
  <c r="J169" i="10" s="1"/>
  <c r="P169" i="10" s="1"/>
  <c r="M169" i="10"/>
  <c r="U168" i="10"/>
  <c r="J168" i="10" s="1"/>
  <c r="P168" i="10" s="1"/>
  <c r="M168" i="10"/>
  <c r="U167" i="10"/>
  <c r="J167" i="10" s="1"/>
  <c r="M167" i="10"/>
  <c r="U166" i="10"/>
  <c r="J166" i="10" s="1"/>
  <c r="P166" i="10" s="1"/>
  <c r="M166" i="10"/>
  <c r="U165" i="10"/>
  <c r="J165" i="10" s="1"/>
  <c r="M165" i="10"/>
  <c r="U164" i="10"/>
  <c r="J164" i="10" s="1"/>
  <c r="P164" i="10" s="1"/>
  <c r="M164" i="10"/>
  <c r="U163" i="10"/>
  <c r="J163" i="10" s="1"/>
  <c r="P163" i="10" s="1"/>
  <c r="M163" i="10"/>
  <c r="U162" i="10"/>
  <c r="J162" i="10" s="1"/>
  <c r="M162" i="10"/>
  <c r="U161" i="10"/>
  <c r="J161" i="10" s="1"/>
  <c r="M161" i="10"/>
  <c r="U160" i="10"/>
  <c r="J160" i="10" s="1"/>
  <c r="P160" i="10" s="1"/>
  <c r="M160" i="10"/>
  <c r="U159" i="10"/>
  <c r="J159" i="10" s="1"/>
  <c r="M159" i="10"/>
  <c r="U158" i="10"/>
  <c r="J158" i="10" s="1"/>
  <c r="P158" i="10" s="1"/>
  <c r="M158" i="10"/>
  <c r="U157" i="10"/>
  <c r="J157" i="10" s="1"/>
  <c r="M157" i="10"/>
  <c r="U156" i="10"/>
  <c r="J156" i="10" s="1"/>
  <c r="M156" i="10"/>
  <c r="U155" i="10"/>
  <c r="J155" i="10" s="1"/>
  <c r="M155" i="10"/>
  <c r="U154" i="10"/>
  <c r="J154" i="10" s="1"/>
  <c r="M154" i="10"/>
  <c r="U153" i="10"/>
  <c r="J153" i="10" s="1"/>
  <c r="M153" i="10"/>
  <c r="U152" i="10"/>
  <c r="J152" i="10" s="1"/>
  <c r="P152" i="10" s="1"/>
  <c r="M152" i="10"/>
  <c r="U151" i="10"/>
  <c r="J151" i="10" s="1"/>
  <c r="M151" i="10"/>
  <c r="U150" i="10"/>
  <c r="J150" i="10" s="1"/>
  <c r="P150" i="10" s="1"/>
  <c r="M150" i="10"/>
  <c r="U149" i="10"/>
  <c r="J149" i="10" s="1"/>
  <c r="M149" i="10"/>
  <c r="U148" i="10"/>
  <c r="J148" i="10" s="1"/>
  <c r="M148" i="10"/>
  <c r="U147" i="10"/>
  <c r="J147" i="10" s="1"/>
  <c r="M147" i="10"/>
  <c r="U146" i="10"/>
  <c r="J146" i="10" s="1"/>
  <c r="M146" i="10"/>
  <c r="U145" i="10"/>
  <c r="J145" i="10" s="1"/>
  <c r="P145" i="10" s="1"/>
  <c r="M145" i="10"/>
  <c r="U143" i="10"/>
  <c r="J143" i="10" s="1"/>
  <c r="M143" i="10"/>
  <c r="U142" i="10"/>
  <c r="J142" i="10" s="1"/>
  <c r="M142" i="10"/>
  <c r="U141" i="10"/>
  <c r="J141" i="10" s="1"/>
  <c r="M141" i="10"/>
  <c r="U140" i="10"/>
  <c r="J140" i="10" s="1"/>
  <c r="M140" i="10"/>
  <c r="U139" i="10"/>
  <c r="J139" i="10" s="1"/>
  <c r="M139" i="10"/>
  <c r="U138" i="10"/>
  <c r="J138" i="10" s="1"/>
  <c r="M138" i="10"/>
  <c r="U137" i="10"/>
  <c r="J137" i="10" s="1"/>
  <c r="M137" i="10"/>
  <c r="U136" i="10"/>
  <c r="J136" i="10" s="1"/>
  <c r="M136" i="10"/>
  <c r="U135" i="10"/>
  <c r="J135" i="10" s="1"/>
  <c r="K135" i="10" s="1"/>
  <c r="M135" i="10"/>
  <c r="U134" i="10"/>
  <c r="J134" i="10" s="1"/>
  <c r="M134" i="10"/>
  <c r="U133" i="10"/>
  <c r="J133" i="10" s="1"/>
  <c r="M133" i="10"/>
  <c r="U132" i="10"/>
  <c r="J132" i="10" s="1"/>
  <c r="M132" i="10"/>
  <c r="U131" i="10"/>
  <c r="J131" i="10" s="1"/>
  <c r="M131" i="10"/>
  <c r="U130" i="10"/>
  <c r="J130" i="10" s="1"/>
  <c r="M130" i="10"/>
  <c r="U129" i="10"/>
  <c r="J129" i="10" s="1"/>
  <c r="M129" i="10"/>
  <c r="U128" i="10"/>
  <c r="J128" i="10" s="1"/>
  <c r="M128" i="10"/>
  <c r="U127" i="10"/>
  <c r="J127" i="10" s="1"/>
  <c r="M127" i="10"/>
  <c r="U126" i="10"/>
  <c r="J126" i="10" s="1"/>
  <c r="K126" i="10" s="1"/>
  <c r="M126" i="10"/>
  <c r="U125" i="10"/>
  <c r="J125" i="10" s="1"/>
  <c r="K125" i="10" s="1"/>
  <c r="M125" i="10"/>
  <c r="U124" i="10"/>
  <c r="J124" i="10" s="1"/>
  <c r="M124" i="10"/>
  <c r="U123" i="10"/>
  <c r="J123" i="10" s="1"/>
  <c r="M123" i="10"/>
  <c r="U122" i="10"/>
  <c r="J122" i="10" s="1"/>
  <c r="M122" i="10"/>
  <c r="U121" i="10"/>
  <c r="J121" i="10" s="1"/>
  <c r="M121" i="10"/>
  <c r="U120" i="10"/>
  <c r="J120" i="10" s="1"/>
  <c r="M120" i="10"/>
  <c r="U119" i="10"/>
  <c r="J119" i="10" s="1"/>
  <c r="M119" i="10"/>
  <c r="U118" i="10"/>
  <c r="J118" i="10" s="1"/>
  <c r="K118" i="10" s="1"/>
  <c r="M118" i="10"/>
  <c r="U117" i="10"/>
  <c r="J117" i="10" s="1"/>
  <c r="M117" i="10"/>
  <c r="U116" i="10"/>
  <c r="J116" i="10" s="1"/>
  <c r="M116" i="10"/>
  <c r="U115" i="10"/>
  <c r="J115" i="10" s="1"/>
  <c r="M115" i="10"/>
  <c r="U114" i="10"/>
  <c r="J114" i="10" s="1"/>
  <c r="P114" i="10" s="1"/>
  <c r="M114" i="10"/>
  <c r="U113" i="10"/>
  <c r="J113" i="10" s="1"/>
  <c r="M113" i="10"/>
  <c r="U112" i="10"/>
  <c r="J112" i="10" s="1"/>
  <c r="M112" i="10"/>
  <c r="U111" i="10"/>
  <c r="J111" i="10" s="1"/>
  <c r="M111" i="10"/>
  <c r="U110" i="10"/>
  <c r="J110" i="10" s="1"/>
  <c r="M110" i="10"/>
  <c r="U109" i="10"/>
  <c r="J109" i="10" s="1"/>
  <c r="K109" i="10" s="1"/>
  <c r="M109" i="10"/>
  <c r="U108" i="10"/>
  <c r="J108" i="10" s="1"/>
  <c r="M108" i="10"/>
  <c r="U107" i="10"/>
  <c r="J107" i="10" s="1"/>
  <c r="M107" i="10"/>
  <c r="U106" i="10"/>
  <c r="J106" i="10" s="1"/>
  <c r="M106" i="10"/>
  <c r="U105" i="10"/>
  <c r="J105" i="10" s="1"/>
  <c r="M105" i="10"/>
  <c r="U104" i="10"/>
  <c r="J104" i="10" s="1"/>
  <c r="M104" i="10"/>
  <c r="U103" i="10"/>
  <c r="J103" i="10" s="1"/>
  <c r="M103" i="10"/>
  <c r="U102" i="10"/>
  <c r="J102" i="10" s="1"/>
  <c r="M102" i="10"/>
  <c r="U101" i="10"/>
  <c r="J101" i="10" s="1"/>
  <c r="M101" i="10"/>
  <c r="U100" i="10"/>
  <c r="J100" i="10" s="1"/>
  <c r="M100" i="10"/>
  <c r="U99" i="10"/>
  <c r="J99" i="10" s="1"/>
  <c r="M99" i="10"/>
  <c r="U98" i="10"/>
  <c r="J98" i="10" s="1"/>
  <c r="M98" i="10"/>
  <c r="U97" i="10"/>
  <c r="J97" i="10" s="1"/>
  <c r="P97" i="10" s="1"/>
  <c r="M97" i="10"/>
  <c r="U96" i="10"/>
  <c r="J96" i="10" s="1"/>
  <c r="M96" i="10"/>
  <c r="U95" i="10"/>
  <c r="J95" i="10" s="1"/>
  <c r="M95" i="10"/>
  <c r="U94" i="10"/>
  <c r="J94" i="10" s="1"/>
  <c r="M94" i="10"/>
  <c r="U93" i="10"/>
  <c r="J93" i="10" s="1"/>
  <c r="P93" i="10" s="1"/>
  <c r="M93" i="10"/>
  <c r="U92" i="10"/>
  <c r="J92" i="10" s="1"/>
  <c r="M92" i="10"/>
  <c r="U91" i="10"/>
  <c r="J91" i="10" s="1"/>
  <c r="P91" i="10" s="1"/>
  <c r="M91" i="10"/>
  <c r="U90" i="10"/>
  <c r="J90" i="10" s="1"/>
  <c r="M90" i="10"/>
  <c r="U89" i="10"/>
  <c r="J89" i="10" s="1"/>
  <c r="M89" i="10"/>
  <c r="U88" i="10"/>
  <c r="J88" i="10" s="1"/>
  <c r="M88" i="10"/>
  <c r="U87" i="10"/>
  <c r="J87" i="10" s="1"/>
  <c r="M87" i="10"/>
  <c r="U86" i="10"/>
  <c r="J86" i="10" s="1"/>
  <c r="M86" i="10"/>
  <c r="U85" i="10"/>
  <c r="J85" i="10" s="1"/>
  <c r="M85" i="10"/>
  <c r="U84" i="10"/>
  <c r="J84" i="10" s="1"/>
  <c r="M84" i="10"/>
  <c r="U83" i="10"/>
  <c r="J83" i="10" s="1"/>
  <c r="M83" i="10"/>
  <c r="U82" i="10"/>
  <c r="J82" i="10" s="1"/>
  <c r="M82" i="10"/>
  <c r="U81" i="10"/>
  <c r="J81" i="10" s="1"/>
  <c r="M81" i="10"/>
  <c r="U80" i="10"/>
  <c r="J80" i="10" s="1"/>
  <c r="M80" i="10"/>
  <c r="U79" i="10"/>
  <c r="J79" i="10" s="1"/>
  <c r="M79" i="10"/>
  <c r="U78" i="10"/>
  <c r="J78" i="10" s="1"/>
  <c r="P78" i="10" s="1"/>
  <c r="M78" i="10"/>
  <c r="U77" i="10"/>
  <c r="J77" i="10" s="1"/>
  <c r="M77" i="10"/>
  <c r="U76" i="10"/>
  <c r="J76" i="10" s="1"/>
  <c r="M76" i="10"/>
  <c r="U75" i="10"/>
  <c r="J75" i="10" s="1"/>
  <c r="M75" i="10"/>
  <c r="U74" i="10"/>
  <c r="J74" i="10" s="1"/>
  <c r="P74" i="10" s="1"/>
  <c r="M74" i="10"/>
  <c r="U73" i="10"/>
  <c r="J73" i="10" s="1"/>
  <c r="M73" i="10"/>
  <c r="U72" i="10"/>
  <c r="J72" i="10" s="1"/>
  <c r="M72" i="10"/>
  <c r="U71" i="10"/>
  <c r="J71" i="10" s="1"/>
  <c r="M71" i="10"/>
  <c r="U70" i="10"/>
  <c r="J70" i="10" s="1"/>
  <c r="P70" i="10" s="1"/>
  <c r="M70" i="10"/>
  <c r="U69" i="10"/>
  <c r="J69" i="10" s="1"/>
  <c r="M69" i="10"/>
  <c r="U68" i="10"/>
  <c r="J68" i="10" s="1"/>
  <c r="M68" i="10"/>
  <c r="U67" i="10"/>
  <c r="J67" i="10" s="1"/>
  <c r="M67" i="10"/>
  <c r="U66" i="10"/>
  <c r="J66" i="10" s="1"/>
  <c r="M66" i="10"/>
  <c r="U65" i="10"/>
  <c r="J65" i="10" s="1"/>
  <c r="M65" i="10"/>
  <c r="U64" i="10"/>
  <c r="J64" i="10" s="1"/>
  <c r="M64" i="10"/>
  <c r="U63" i="10"/>
  <c r="J63" i="10" s="1"/>
  <c r="M63" i="10"/>
  <c r="U62" i="10"/>
  <c r="J62" i="10" s="1"/>
  <c r="M62" i="10"/>
  <c r="U61" i="10"/>
  <c r="J61" i="10" s="1"/>
  <c r="M61" i="10"/>
  <c r="U60" i="10"/>
  <c r="J60" i="10" s="1"/>
  <c r="M60" i="10"/>
  <c r="U59" i="10"/>
  <c r="J59" i="10" s="1"/>
  <c r="M59" i="10"/>
  <c r="U58" i="10"/>
  <c r="J58" i="10" s="1"/>
  <c r="M58" i="10"/>
  <c r="U57" i="10"/>
  <c r="J57" i="10" s="1"/>
  <c r="M57" i="10"/>
  <c r="U56" i="10"/>
  <c r="J56" i="10" s="1"/>
  <c r="M56" i="10"/>
  <c r="U55" i="10"/>
  <c r="J55" i="10" s="1"/>
  <c r="M55" i="10"/>
  <c r="U54" i="10"/>
  <c r="J54" i="10" s="1"/>
  <c r="M54" i="10"/>
  <c r="U53" i="10"/>
  <c r="J53" i="10" s="1"/>
  <c r="M53" i="10"/>
  <c r="U52" i="10"/>
  <c r="J52" i="10" s="1"/>
  <c r="M52" i="10"/>
  <c r="U51" i="10"/>
  <c r="J51" i="10" s="1"/>
  <c r="M51" i="10"/>
  <c r="U50" i="10"/>
  <c r="J50" i="10" s="1"/>
  <c r="M50" i="10"/>
  <c r="U49" i="10"/>
  <c r="J49" i="10" s="1"/>
  <c r="M49" i="10"/>
  <c r="U48" i="10"/>
  <c r="J48" i="10" s="1"/>
  <c r="M48" i="10"/>
  <c r="U47" i="10"/>
  <c r="J47" i="10" s="1"/>
  <c r="M47" i="10"/>
  <c r="U46" i="10"/>
  <c r="J46" i="10" s="1"/>
  <c r="M46" i="10"/>
  <c r="U45" i="10"/>
  <c r="J45" i="10" s="1"/>
  <c r="M45" i="10"/>
  <c r="U44" i="10"/>
  <c r="J44" i="10" s="1"/>
  <c r="M44" i="10"/>
  <c r="U43" i="10"/>
  <c r="J43" i="10" s="1"/>
  <c r="M43" i="10"/>
  <c r="U42" i="10"/>
  <c r="J42" i="10" s="1"/>
  <c r="M42" i="10"/>
  <c r="U41" i="10"/>
  <c r="J41" i="10" s="1"/>
  <c r="M41" i="10"/>
  <c r="U40" i="10"/>
  <c r="J40" i="10" s="1"/>
  <c r="M40" i="10"/>
  <c r="U39" i="10"/>
  <c r="J39" i="10" s="1"/>
  <c r="M39" i="10"/>
  <c r="U38" i="10"/>
  <c r="J38" i="10" s="1"/>
  <c r="M38" i="10"/>
  <c r="U37" i="10"/>
  <c r="J37" i="10" s="1"/>
  <c r="M37" i="10"/>
  <c r="U36" i="10"/>
  <c r="J36" i="10" s="1"/>
  <c r="M36" i="10"/>
  <c r="U35" i="10"/>
  <c r="J35" i="10" s="1"/>
  <c r="M35" i="10"/>
  <c r="U34" i="10"/>
  <c r="J34" i="10" s="1"/>
  <c r="M34" i="10"/>
  <c r="U33" i="10"/>
  <c r="J33" i="10" s="1"/>
  <c r="M33" i="10"/>
  <c r="U32" i="10"/>
  <c r="J32" i="10" s="1"/>
  <c r="M32" i="10"/>
  <c r="U31" i="10"/>
  <c r="J31" i="10" s="1"/>
  <c r="M31" i="10"/>
  <c r="U30" i="10"/>
  <c r="J30" i="10" s="1"/>
  <c r="M30" i="10"/>
  <c r="U29" i="10"/>
  <c r="J29" i="10" s="1"/>
  <c r="M29" i="10"/>
  <c r="U28" i="10"/>
  <c r="J28" i="10" s="1"/>
  <c r="M28" i="10"/>
  <c r="U27" i="10"/>
  <c r="J27" i="10" s="1"/>
  <c r="M27" i="10"/>
  <c r="U26" i="10"/>
  <c r="J26" i="10" s="1"/>
  <c r="M26" i="10"/>
  <c r="U25" i="10"/>
  <c r="J25" i="10" s="1"/>
  <c r="M25" i="10"/>
  <c r="U24" i="10"/>
  <c r="J24" i="10" s="1"/>
  <c r="M24" i="10"/>
  <c r="U23" i="10"/>
  <c r="J23" i="10" s="1"/>
  <c r="M23" i="10"/>
  <c r="U22" i="10"/>
  <c r="J22" i="10" s="1"/>
  <c r="M22" i="10"/>
  <c r="U21" i="10"/>
  <c r="J21" i="10" s="1"/>
  <c r="M21" i="10"/>
  <c r="U20" i="10"/>
  <c r="J20" i="10" s="1"/>
  <c r="M20" i="10"/>
  <c r="U19" i="10"/>
  <c r="J19" i="10" s="1"/>
  <c r="M19" i="10"/>
  <c r="U18" i="10"/>
  <c r="J18" i="10" s="1"/>
  <c r="M18" i="10"/>
  <c r="U17" i="10"/>
  <c r="J17" i="10" s="1"/>
  <c r="M17" i="10"/>
  <c r="U16" i="10"/>
  <c r="J16" i="10" s="1"/>
  <c r="M16" i="10"/>
  <c r="U15" i="10"/>
  <c r="J15" i="10" s="1"/>
  <c r="M15" i="10"/>
  <c r="U14" i="10"/>
  <c r="J14" i="10" s="1"/>
  <c r="M14" i="10"/>
  <c r="U13" i="10"/>
  <c r="J13" i="10" s="1"/>
  <c r="M13" i="10"/>
  <c r="U12" i="10"/>
  <c r="J12" i="10" s="1"/>
  <c r="M12" i="10"/>
  <c r="U11" i="10"/>
  <c r="J11" i="10" s="1"/>
  <c r="M11" i="10"/>
  <c r="U10" i="10"/>
  <c r="J10" i="10" s="1"/>
  <c r="M10" i="10"/>
  <c r="U9" i="10"/>
  <c r="J9" i="10" s="1"/>
  <c r="M9" i="10"/>
  <c r="U8" i="10"/>
  <c r="J8" i="10" s="1"/>
  <c r="M8" i="10"/>
  <c r="U7" i="10"/>
  <c r="J7" i="10" s="1"/>
  <c r="M7" i="10"/>
  <c r="U6" i="10"/>
  <c r="J6" i="10" s="1"/>
  <c r="M6" i="10"/>
  <c r="U5" i="10"/>
  <c r="J5" i="10" s="1"/>
  <c r="M5" i="10"/>
  <c r="U4" i="10"/>
  <c r="J4" i="10" s="1"/>
  <c r="U524" i="10"/>
  <c r="J524" i="10" s="1"/>
  <c r="M524" i="10"/>
  <c r="U499" i="10"/>
  <c r="J499" i="10" s="1"/>
  <c r="M499" i="10"/>
  <c r="U144" i="10"/>
  <c r="J144" i="10" s="1"/>
  <c r="M144" i="10"/>
  <c r="M376" i="10"/>
  <c r="U376" i="10"/>
  <c r="J376" i="10" s="1"/>
  <c r="K376" i="10" s="1"/>
  <c r="M375" i="10"/>
  <c r="U375" i="10"/>
  <c r="J375" i="10" s="1"/>
  <c r="K375" i="10" s="1"/>
  <c r="M374" i="10"/>
  <c r="U374" i="10"/>
  <c r="J374" i="10" s="1"/>
  <c r="K374" i="10" s="1"/>
  <c r="U373" i="10"/>
  <c r="J373" i="10" s="1"/>
  <c r="M373" i="10"/>
  <c r="U418" i="10"/>
  <c r="J418" i="10" s="1"/>
  <c r="K418" i="10" s="1"/>
  <c r="M418" i="10"/>
  <c r="U399" i="10"/>
  <c r="J399" i="10" s="1"/>
  <c r="K399" i="10" s="1"/>
  <c r="M399" i="10"/>
  <c r="U398" i="10"/>
  <c r="J398" i="10" s="1"/>
  <c r="M398" i="10"/>
  <c r="U419" i="10"/>
  <c r="J419" i="10" s="1"/>
  <c r="M419" i="10"/>
  <c r="U396" i="10"/>
  <c r="J396" i="10" s="1"/>
  <c r="M396" i="10"/>
  <c r="U391" i="10"/>
  <c r="J391" i="10" s="1"/>
  <c r="M391" i="10"/>
  <c r="M452" i="10"/>
  <c r="U452" i="10"/>
  <c r="J452" i="10" s="1"/>
  <c r="K452" i="10" s="1"/>
  <c r="M445" i="10"/>
  <c r="U445" i="10"/>
  <c r="J445" i="10" s="1"/>
  <c r="K445" i="10" s="1"/>
  <c r="U444" i="10"/>
  <c r="J444" i="10" s="1"/>
  <c r="M444" i="10"/>
  <c r="M590" i="10"/>
  <c r="U590" i="10"/>
  <c r="J590" i="10" s="1"/>
  <c r="K590" i="10" s="1"/>
  <c r="U591" i="10"/>
  <c r="J591" i="10" s="1"/>
  <c r="K591" i="10" s="1"/>
  <c r="M591" i="10"/>
  <c r="U592" i="10"/>
  <c r="J592" i="10" s="1"/>
  <c r="K592" i="10" s="1"/>
  <c r="M592" i="10"/>
  <c r="M594" i="10"/>
  <c r="U594" i="10"/>
  <c r="J594" i="10" s="1"/>
  <c r="K594" i="10" s="1"/>
  <c r="M593" i="10"/>
  <c r="U593" i="10"/>
  <c r="J593" i="10" s="1"/>
  <c r="K593" i="10" s="1"/>
  <c r="K459" i="10" l="1"/>
  <c r="P459" i="10"/>
  <c r="K460" i="10"/>
  <c r="P460" i="10"/>
  <c r="K537" i="10"/>
  <c r="P537" i="10"/>
  <c r="K457" i="10"/>
  <c r="P457" i="10"/>
  <c r="K538" i="10"/>
  <c r="P538" i="10"/>
  <c r="K295" i="10"/>
  <c r="O295" i="10"/>
  <c r="K578" i="10"/>
  <c r="O578" i="10"/>
  <c r="K573" i="10"/>
  <c r="O573" i="10"/>
  <c r="K330" i="10"/>
  <c r="K322" i="10"/>
  <c r="K561" i="10"/>
  <c r="O561" i="10"/>
  <c r="K324" i="10"/>
  <c r="O324" i="10"/>
  <c r="K577" i="10"/>
  <c r="O577" i="10"/>
  <c r="K286" i="10"/>
  <c r="O286" i="10"/>
  <c r="K326" i="10"/>
  <c r="O326" i="10"/>
  <c r="K575" i="10"/>
  <c r="O575" i="10"/>
  <c r="K318" i="10"/>
  <c r="O318" i="10"/>
  <c r="K567" i="10"/>
  <c r="O567" i="10"/>
  <c r="K302" i="10"/>
  <c r="O302" i="10"/>
  <c r="K306" i="10"/>
  <c r="O306" i="10"/>
  <c r="K321" i="10"/>
  <c r="O321" i="10"/>
  <c r="K572" i="10"/>
  <c r="O572" i="10"/>
  <c r="K569" i="10"/>
  <c r="O569" i="10"/>
  <c r="K548" i="10"/>
  <c r="O548" i="10"/>
  <c r="K547" i="10"/>
  <c r="O547" i="10"/>
  <c r="K543" i="10"/>
  <c r="O543" i="10"/>
  <c r="M3" i="10"/>
  <c r="J3" i="10"/>
  <c r="U3" i="10"/>
  <c r="K13" i="10"/>
  <c r="K34" i="10"/>
  <c r="K131" i="10"/>
  <c r="K174" i="10"/>
  <c r="K191" i="10"/>
  <c r="K536" i="10"/>
  <c r="K7" i="10"/>
  <c r="K73" i="10"/>
  <c r="K144" i="10"/>
  <c r="K8" i="10"/>
  <c r="K14" i="10"/>
  <c r="K21" i="10"/>
  <c r="K27" i="10"/>
  <c r="K58" i="10"/>
  <c r="K88" i="10"/>
  <c r="K128" i="10"/>
  <c r="K136" i="10"/>
  <c r="K220" i="10"/>
  <c r="K234" i="10"/>
  <c r="K473" i="10"/>
  <c r="K5" i="10"/>
  <c r="K17" i="10"/>
  <c r="K24" i="10"/>
  <c r="K39" i="10"/>
  <c r="K62" i="10"/>
  <c r="K85" i="10"/>
  <c r="K103" i="10"/>
  <c r="K122" i="10"/>
  <c r="K124" i="10"/>
  <c r="K140" i="10"/>
  <c r="K156" i="10"/>
  <c r="K180" i="10"/>
  <c r="K500" i="10"/>
  <c r="K20" i="10"/>
  <c r="K87" i="10"/>
  <c r="K146" i="10"/>
  <c r="K6" i="10"/>
  <c r="K11" i="10"/>
  <c r="K18" i="10"/>
  <c r="K25" i="10"/>
  <c r="K32" i="10"/>
  <c r="K71" i="10"/>
  <c r="K79" i="10"/>
  <c r="K98" i="10"/>
  <c r="K104" i="10"/>
  <c r="K110" i="10"/>
  <c r="K115" i="10"/>
  <c r="K119" i="10"/>
  <c r="K123" i="10"/>
  <c r="K129" i="10"/>
  <c r="K133" i="10"/>
  <c r="K137" i="10"/>
  <c r="K193" i="10"/>
  <c r="K239" i="10"/>
  <c r="K256" i="10"/>
  <c r="K16" i="10"/>
  <c r="K84" i="10"/>
  <c r="K108" i="10"/>
  <c r="K127" i="10"/>
  <c r="K167" i="10"/>
  <c r="K9" i="10"/>
  <c r="K15" i="10"/>
  <c r="K28" i="10"/>
  <c r="K454" i="10"/>
  <c r="K4" i="10"/>
  <c r="K23" i="10"/>
  <c r="K90" i="10"/>
  <c r="K139" i="10"/>
  <c r="K187" i="10"/>
  <c r="K22" i="10"/>
  <c r="K29" i="10"/>
  <c r="K60" i="10"/>
  <c r="K64" i="10"/>
  <c r="K68" i="10"/>
  <c r="K95" i="10"/>
  <c r="K105" i="10"/>
  <c r="K120" i="10"/>
  <c r="K130" i="10"/>
  <c r="K138" i="10"/>
  <c r="K148" i="10"/>
  <c r="K154" i="10"/>
  <c r="K162" i="10"/>
  <c r="K170" i="10"/>
  <c r="K178" i="10"/>
  <c r="K442" i="10"/>
  <c r="K373" i="10"/>
  <c r="K10" i="10"/>
  <c r="K30" i="10"/>
  <c r="K106" i="10"/>
  <c r="K121" i="10"/>
  <c r="K12" i="10"/>
  <c r="K19" i="10"/>
  <c r="K26" i="10"/>
  <c r="K33" i="10"/>
  <c r="K101" i="10"/>
  <c r="K112" i="10"/>
  <c r="K134" i="10"/>
  <c r="O529" i="10"/>
  <c r="P529" i="10" s="1"/>
  <c r="K531" i="10"/>
  <c r="P531" i="10"/>
  <c r="K141" i="10"/>
  <c r="K315" i="10"/>
  <c r="P315" i="10"/>
  <c r="K313" i="10"/>
  <c r="P313" i="10"/>
  <c r="K311" i="10"/>
  <c r="P311" i="10"/>
  <c r="K312" i="10"/>
  <c r="P312" i="10"/>
  <c r="K336" i="10"/>
  <c r="P336" i="10"/>
  <c r="K340" i="10"/>
  <c r="P340" i="10"/>
  <c r="K530" i="10"/>
  <c r="O530" i="10"/>
  <c r="P530" i="10" s="1"/>
  <c r="K542" i="10"/>
  <c r="O542" i="10"/>
  <c r="P542" i="10" s="1"/>
  <c r="K192" i="10"/>
  <c r="K518" i="10"/>
  <c r="K186" i="10"/>
  <c r="K371" i="10"/>
  <c r="P246" i="10"/>
  <c r="K246" i="10"/>
  <c r="K184" i="10"/>
  <c r="K200" i="10"/>
  <c r="K237" i="10"/>
  <c r="K164" i="10"/>
  <c r="P268" i="10"/>
  <c r="K268" i="10"/>
  <c r="K173" i="10"/>
  <c r="K512" i="10"/>
  <c r="K516" i="10"/>
  <c r="K158" i="10"/>
  <c r="K171" i="10"/>
  <c r="K179" i="10"/>
  <c r="K502" i="10"/>
  <c r="K198" i="10"/>
  <c r="K228" i="10"/>
  <c r="P205" i="10"/>
  <c r="K205" i="10"/>
  <c r="P266" i="10"/>
  <c r="K266" i="10"/>
  <c r="K391" i="10"/>
  <c r="P132" i="10"/>
  <c r="K132" i="10"/>
  <c r="P219" i="10"/>
  <c r="K219" i="10"/>
  <c r="K398" i="10"/>
  <c r="P76" i="10"/>
  <c r="K76" i="10"/>
  <c r="P147" i="10"/>
  <c r="K147" i="10"/>
  <c r="K419" i="10"/>
  <c r="K444" i="10"/>
  <c r="P230" i="10"/>
  <c r="K230" i="10"/>
  <c r="K396" i="10"/>
  <c r="P221" i="10"/>
  <c r="K221" i="10"/>
  <c r="P233" i="10"/>
  <c r="K233" i="10"/>
  <c r="P210" i="10"/>
  <c r="K210" i="10"/>
  <c r="P248" i="10"/>
  <c r="K248" i="10"/>
  <c r="P107" i="10"/>
  <c r="K107" i="10"/>
  <c r="P252" i="10"/>
  <c r="K252" i="10"/>
  <c r="P259" i="10"/>
  <c r="K259" i="10"/>
  <c r="K212" i="10"/>
  <c r="K97" i="10"/>
  <c r="K196" i="10"/>
  <c r="K207" i="10"/>
  <c r="K514" i="10"/>
  <c r="K168" i="10"/>
  <c r="K241" i="10"/>
  <c r="K254" i="10"/>
  <c r="K264" i="10"/>
  <c r="K163" i="10"/>
  <c r="K74" i="10"/>
  <c r="K166" i="10"/>
  <c r="K177" i="10"/>
  <c r="K181" i="10"/>
  <c r="K189" i="10"/>
  <c r="K195" i="10"/>
  <c r="K206" i="10"/>
  <c r="K223" i="10"/>
  <c r="K245" i="10"/>
  <c r="P35" i="10"/>
  <c r="K35" i="10"/>
  <c r="P50" i="10"/>
  <c r="K50" i="10"/>
  <c r="P86" i="10"/>
  <c r="K86" i="10"/>
  <c r="P155" i="10"/>
  <c r="K155" i="10"/>
  <c r="P48" i="10"/>
  <c r="K48" i="10"/>
  <c r="P59" i="10"/>
  <c r="K59" i="10"/>
  <c r="P96" i="10"/>
  <c r="K96" i="10"/>
  <c r="P100" i="10"/>
  <c r="K100" i="10"/>
  <c r="P153" i="10"/>
  <c r="K153" i="10"/>
  <c r="P161" i="10"/>
  <c r="K161" i="10"/>
  <c r="P54" i="10"/>
  <c r="K54" i="10"/>
  <c r="P89" i="10"/>
  <c r="K89" i="10"/>
  <c r="P524" i="10"/>
  <c r="K524" i="10"/>
  <c r="P44" i="10"/>
  <c r="K44" i="10"/>
  <c r="P52" i="10"/>
  <c r="K52" i="10"/>
  <c r="P80" i="10"/>
  <c r="K80" i="10"/>
  <c r="P41" i="10"/>
  <c r="K41" i="10"/>
  <c r="P49" i="10"/>
  <c r="K49" i="10"/>
  <c r="P57" i="10"/>
  <c r="K57" i="10"/>
  <c r="P75" i="10"/>
  <c r="K75" i="10"/>
  <c r="P99" i="10"/>
  <c r="K99" i="10"/>
  <c r="P116" i="10"/>
  <c r="K116" i="10"/>
  <c r="P151" i="10"/>
  <c r="K151" i="10"/>
  <c r="P185" i="10"/>
  <c r="K185" i="10"/>
  <c r="P42" i="10"/>
  <c r="K42" i="10"/>
  <c r="P94" i="10"/>
  <c r="K94" i="10"/>
  <c r="P142" i="10"/>
  <c r="K142" i="10"/>
  <c r="P37" i="10"/>
  <c r="K37" i="10"/>
  <c r="P56" i="10"/>
  <c r="K56" i="10"/>
  <c r="P38" i="10"/>
  <c r="K38" i="10"/>
  <c r="P45" i="10"/>
  <c r="K45" i="10"/>
  <c r="P53" i="10"/>
  <c r="K53" i="10"/>
  <c r="P72" i="10"/>
  <c r="K72" i="10"/>
  <c r="P83" i="10"/>
  <c r="K83" i="10"/>
  <c r="P66" i="10"/>
  <c r="K66" i="10"/>
  <c r="P111" i="10"/>
  <c r="K111" i="10"/>
  <c r="P31" i="10"/>
  <c r="K31" i="10"/>
  <c r="P46" i="10"/>
  <c r="K46" i="10"/>
  <c r="P63" i="10"/>
  <c r="K63" i="10"/>
  <c r="P117" i="10"/>
  <c r="K117" i="10"/>
  <c r="P81" i="10"/>
  <c r="K81" i="10"/>
  <c r="P157" i="10"/>
  <c r="K157" i="10"/>
  <c r="P172" i="10"/>
  <c r="K172" i="10"/>
  <c r="P197" i="10"/>
  <c r="K197" i="10"/>
  <c r="K499" i="10"/>
  <c r="P36" i="10"/>
  <c r="K36" i="10"/>
  <c r="P40" i="10"/>
  <c r="K40" i="10"/>
  <c r="P43" i="10"/>
  <c r="K43" i="10"/>
  <c r="P47" i="10"/>
  <c r="K47" i="10"/>
  <c r="P51" i="10"/>
  <c r="K51" i="10"/>
  <c r="P55" i="10"/>
  <c r="K55" i="10"/>
  <c r="P113" i="10"/>
  <c r="K113" i="10"/>
  <c r="P67" i="10"/>
  <c r="K67" i="10"/>
  <c r="P82" i="10"/>
  <c r="K82" i="10"/>
  <c r="P190" i="10"/>
  <c r="K190" i="10"/>
  <c r="P203" i="10"/>
  <c r="K203" i="10"/>
  <c r="K401" i="10"/>
  <c r="K461" i="10"/>
  <c r="P65" i="10"/>
  <c r="K65" i="10"/>
  <c r="P92" i="10"/>
  <c r="K92" i="10"/>
  <c r="P215" i="10"/>
  <c r="K215" i="10"/>
  <c r="P218" i="10"/>
  <c r="K218" i="10"/>
  <c r="P226" i="10"/>
  <c r="K226" i="10"/>
  <c r="P232" i="10"/>
  <c r="K232" i="10"/>
  <c r="P236" i="10"/>
  <c r="K236" i="10"/>
  <c r="K384" i="10"/>
  <c r="P520" i="10"/>
  <c r="K520" i="10"/>
  <c r="P175" i="10"/>
  <c r="K175" i="10"/>
  <c r="K70" i="10"/>
  <c r="K93" i="10"/>
  <c r="K114" i="10"/>
  <c r="K145" i="10"/>
  <c r="K152" i="10"/>
  <c r="K169" i="10"/>
  <c r="P201" i="10"/>
  <c r="K201" i="10"/>
  <c r="K204" i="10"/>
  <c r="K208" i="10"/>
  <c r="P517" i="10"/>
  <c r="K517" i="10"/>
  <c r="K532" i="10"/>
  <c r="P69" i="10"/>
  <c r="K69" i="10"/>
  <c r="P102" i="10"/>
  <c r="K102" i="10"/>
  <c r="P61" i="10"/>
  <c r="K61" i="10"/>
  <c r="P77" i="10"/>
  <c r="K77" i="10"/>
  <c r="P149" i="10"/>
  <c r="K149" i="10"/>
  <c r="P159" i="10"/>
  <c r="K159" i="10"/>
  <c r="P213" i="10"/>
  <c r="K213" i="10"/>
  <c r="P216" i="10"/>
  <c r="K216" i="10"/>
  <c r="P224" i="10"/>
  <c r="K224" i="10"/>
  <c r="P231" i="10"/>
  <c r="K231" i="10"/>
  <c r="P242" i="10"/>
  <c r="K242" i="10"/>
  <c r="P249" i="10"/>
  <c r="K249" i="10"/>
  <c r="P261" i="10"/>
  <c r="K261" i="10"/>
  <c r="K378" i="10"/>
  <c r="P143" i="10"/>
  <c r="K143" i="10"/>
  <c r="P182" i="10"/>
  <c r="K182" i="10"/>
  <c r="K199" i="10"/>
  <c r="P194" i="10"/>
  <c r="K194" i="10"/>
  <c r="K202" i="10"/>
  <c r="K211" i="10"/>
  <c r="K217" i="10"/>
  <c r="P222" i="10"/>
  <c r="K222" i="10"/>
  <c r="K225" i="10"/>
  <c r="P229" i="10"/>
  <c r="K229" i="10"/>
  <c r="K235" i="10"/>
  <c r="P240" i="10"/>
  <c r="K240" i="10"/>
  <c r="K243" i="10"/>
  <c r="P247" i="10"/>
  <c r="K247" i="10"/>
  <c r="K250" i="10"/>
  <c r="P255" i="10"/>
  <c r="K255" i="10"/>
  <c r="P260" i="10"/>
  <c r="K260" i="10"/>
  <c r="K262" i="10"/>
  <c r="P267" i="10"/>
  <c r="K267" i="10"/>
  <c r="P504" i="10"/>
  <c r="K504" i="10"/>
  <c r="P508" i="10"/>
  <c r="K508" i="10"/>
  <c r="P505" i="10"/>
  <c r="K505" i="10"/>
  <c r="K78" i="10"/>
  <c r="K91" i="10"/>
  <c r="K150" i="10"/>
  <c r="K160" i="10"/>
  <c r="P165" i="10"/>
  <c r="K165" i="10"/>
  <c r="P176" i="10"/>
  <c r="K176" i="10"/>
  <c r="K183" i="10"/>
  <c r="K188" i="10"/>
  <c r="P209" i="10"/>
  <c r="K209" i="10"/>
  <c r="K214" i="10"/>
  <c r="P501" i="10"/>
  <c r="K501" i="10"/>
  <c r="K394" i="10"/>
  <c r="K408" i="10"/>
  <c r="P511" i="10"/>
  <c r="K511" i="10"/>
  <c r="K529" i="10"/>
  <c r="K535" i="10"/>
  <c r="P227" i="10"/>
  <c r="K227" i="10"/>
  <c r="P238" i="10"/>
  <c r="K238" i="10"/>
  <c r="P253" i="10"/>
  <c r="K253" i="10"/>
  <c r="P258" i="10"/>
  <c r="K258" i="10"/>
  <c r="P265" i="10"/>
  <c r="K265" i="10"/>
  <c r="P515" i="10"/>
  <c r="K515" i="10"/>
  <c r="K372" i="10"/>
  <c r="K380" i="10"/>
  <c r="K383" i="10"/>
  <c r="K388" i="10"/>
  <c r="K392" i="10"/>
  <c r="K458" i="10"/>
  <c r="K506" i="10"/>
  <c r="P509" i="10"/>
  <c r="K509" i="10"/>
  <c r="P244" i="10"/>
  <c r="K244" i="10"/>
  <c r="P251" i="10"/>
  <c r="K251" i="10"/>
  <c r="P257" i="10"/>
  <c r="K257" i="10"/>
  <c r="P263" i="10"/>
  <c r="K263" i="10"/>
  <c r="K397" i="10"/>
  <c r="K406" i="10"/>
  <c r="P503" i="10"/>
  <c r="K503" i="10"/>
  <c r="P519" i="10"/>
  <c r="K519" i="10"/>
  <c r="K527" i="10"/>
  <c r="K386" i="10"/>
  <c r="K389" i="10"/>
  <c r="K450" i="10"/>
  <c r="K510" i="10"/>
  <c r="P513" i="10"/>
  <c r="K513" i="10"/>
  <c r="P269" i="10"/>
  <c r="K269" i="10"/>
  <c r="K417" i="10"/>
  <c r="P507" i="10"/>
  <c r="K507" i="10"/>
  <c r="K446" i="10"/>
  <c r="P144" i="10"/>
  <c r="P4" i="10"/>
  <c r="P5" i="10"/>
  <c r="P6" i="10"/>
  <c r="P7" i="10"/>
  <c r="O8" i="10"/>
  <c r="P8" i="10" s="1"/>
  <c r="P9" i="10"/>
  <c r="P10" i="10"/>
  <c r="P11" i="10"/>
  <c r="O12" i="10"/>
  <c r="P12" i="10" s="1"/>
  <c r="O13" i="10"/>
  <c r="P13" i="10" s="1"/>
  <c r="P14" i="10"/>
  <c r="O15" i="10"/>
  <c r="P15" i="10" s="1"/>
  <c r="O16" i="10"/>
  <c r="P16" i="10" s="1"/>
  <c r="P17" i="10"/>
  <c r="P18" i="10"/>
  <c r="P19" i="10"/>
  <c r="P20" i="10"/>
  <c r="P21" i="10"/>
  <c r="P22" i="10"/>
  <c r="P23" i="10"/>
  <c r="O24" i="10"/>
  <c r="P24" i="10" s="1"/>
  <c r="P25" i="10"/>
  <c r="P26" i="10"/>
  <c r="O27" i="10"/>
  <c r="P27" i="10" s="1"/>
  <c r="O28" i="10"/>
  <c r="P28" i="10" s="1"/>
  <c r="O29" i="10"/>
  <c r="P29" i="10" s="1"/>
  <c r="P30" i="10"/>
  <c r="P32" i="10"/>
  <c r="P33" i="10"/>
  <c r="P34" i="10"/>
  <c r="P39" i="10"/>
  <c r="P58" i="10"/>
  <c r="P60" i="10"/>
  <c r="P62" i="10"/>
  <c r="P64" i="10"/>
  <c r="P68" i="10"/>
  <c r="P71" i="10"/>
  <c r="P73" i="10"/>
  <c r="P79" i="10"/>
  <c r="P84" i="10"/>
  <c r="P85" i="10"/>
  <c r="P87" i="10"/>
  <c r="P88" i="10"/>
  <c r="P90" i="10"/>
  <c r="P95" i="10"/>
  <c r="P98" i="10"/>
  <c r="O101" i="10"/>
  <c r="P101" i="10" s="1"/>
  <c r="P103" i="10"/>
  <c r="P104" i="10"/>
  <c r="P105" i="10"/>
  <c r="O106" i="10"/>
  <c r="P106" i="10" s="1"/>
  <c r="P108" i="10"/>
  <c r="O109" i="10"/>
  <c r="P109" i="10" s="1"/>
  <c r="P110" i="10"/>
  <c r="O112" i="10"/>
  <c r="P112" i="10" s="1"/>
  <c r="O115" i="10"/>
  <c r="P115" i="10" s="1"/>
  <c r="O118" i="10"/>
  <c r="P118" i="10" s="1"/>
  <c r="O119" i="10"/>
  <c r="P119" i="10" s="1"/>
  <c r="O120" i="10"/>
  <c r="P120" i="10" s="1"/>
  <c r="P121" i="10"/>
  <c r="O122" i="10"/>
  <c r="P122" i="10" s="1"/>
  <c r="O123" i="10"/>
  <c r="P123" i="10" s="1"/>
  <c r="O124" i="10"/>
  <c r="P124" i="10" s="1"/>
  <c r="O125" i="10"/>
  <c r="P125" i="10" s="1"/>
  <c r="O126" i="10"/>
  <c r="P126" i="10" s="1"/>
  <c r="O127" i="10"/>
  <c r="P127" i="10" s="1"/>
  <c r="O128" i="10"/>
  <c r="P128" i="10" s="1"/>
  <c r="P129" i="10"/>
  <c r="P130" i="10"/>
  <c r="P131" i="10"/>
  <c r="P133" i="10"/>
  <c r="P134" i="10"/>
  <c r="O135" i="10"/>
  <c r="P135" i="10" s="1"/>
  <c r="P136" i="10"/>
  <c r="P137" i="10"/>
  <c r="P138" i="10"/>
  <c r="P139" i="10"/>
  <c r="P140" i="10"/>
  <c r="P141" i="10"/>
  <c r="P146" i="10"/>
  <c r="P148" i="10"/>
  <c r="P154" i="10"/>
  <c r="P156" i="10"/>
  <c r="P162" i="10"/>
  <c r="P167" i="10"/>
  <c r="P170" i="10"/>
  <c r="P174" i="10"/>
  <c r="P178" i="10"/>
  <c r="P180" i="10"/>
  <c r="P187" i="10"/>
  <c r="P191" i="10"/>
  <c r="P193" i="10"/>
  <c r="P220" i="10"/>
  <c r="P234" i="10"/>
  <c r="P239" i="10"/>
  <c r="P256" i="10"/>
  <c r="P500" i="10"/>
  <c r="O3" i="10" l="1"/>
  <c r="P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42" authorId="0" shapeId="0" xr:uid="{7A962B95-5BF9-4948-BE9B-ED625CB706E4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DL 80gms</t>
        </r>
      </text>
    </comment>
    <comment ref="F443" authorId="0" shapeId="0" xr:uid="{D4E67BB3-13B1-44C6-A25A-DFBE4AB40C50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DL 80gsm</t>
        </r>
      </text>
    </comment>
    <comment ref="F447" authorId="0" shapeId="0" xr:uid="{7ADBE46A-6A3D-4C66-9F71-123D946D8950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thực tế DL 80gsm</t>
        </r>
      </text>
    </comment>
    <comment ref="F448" authorId="0" shapeId="0" xr:uid="{DD1B721E-FC7C-492C-9893-7B078814C0AC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DL 80gsm</t>
        </r>
      </text>
    </comment>
    <comment ref="F449" authorId="0" shapeId="0" xr:uid="{A2D20F1D-84AC-4218-910D-C743776385AD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DL 80gsm</t>
        </r>
      </text>
    </comment>
    <comment ref="F450" authorId="0" shapeId="0" xr:uid="{07AD5429-6B1A-4121-89BD-D720D1D8610F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DL70gsm</t>
        </r>
      </text>
    </comment>
    <comment ref="F451" authorId="0" shapeId="0" xr:uid="{CFBBCF72-72B9-4F83-99FA-C49A228557D8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DL 70gsm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HALO</author>
  </authors>
  <commentList>
    <comment ref="BO244" authorId="0" shapeId="0" xr:uid="{F7E65E69-8CEA-4304-9ED5-C3CFF58E786C}">
      <text>
        <r>
          <rPr>
            <b/>
            <sz val="9"/>
            <color indexed="81"/>
            <rFont val="Tahoma"/>
            <family val="2"/>
          </rPr>
          <t>HALO:</t>
        </r>
        <r>
          <rPr>
            <sz val="9"/>
            <color indexed="81"/>
            <rFont val="Tahoma"/>
            <family val="2"/>
          </rPr>
          <t xml:space="preserve">
SX mượn</t>
        </r>
      </text>
    </comment>
  </commentList>
</comments>
</file>

<file path=xl/sharedStrings.xml><?xml version="1.0" encoding="utf-8"?>
<sst xmlns="http://schemas.openxmlformats.org/spreadsheetml/2006/main" count="7597" uniqueCount="835">
  <si>
    <t>Ngày Kiểm</t>
  </si>
  <si>
    <t>MÃ VẬT TƯ</t>
  </si>
  <si>
    <t>MVT mới</t>
  </si>
  <si>
    <t>MH</t>
  </si>
  <si>
    <t>Loại Giấy</t>
  </si>
  <si>
    <t>GSM</t>
  </si>
  <si>
    <t>Hiệu Giấy</t>
  </si>
  <si>
    <t>Kích Thước</t>
  </si>
  <si>
    <t>KG/ Cuộn</t>
  </si>
  <si>
    <t xml:space="preserve"> Total Weight </t>
  </si>
  <si>
    <t>Total Meters</t>
  </si>
  <si>
    <t xml:space="preserve"> Tồn đầu (Số Cuộn) </t>
  </si>
  <si>
    <t>Tồn cuối (Số Cuộn)</t>
  </si>
  <si>
    <t>Dự kiến</t>
  </si>
  <si>
    <t xml:space="preserve">Cuộn </t>
  </si>
  <si>
    <t>LSX</t>
  </si>
  <si>
    <t> </t>
  </si>
  <si>
    <t>Kho</t>
  </si>
  <si>
    <t>Vị Trí</t>
  </si>
  <si>
    <t>Đh</t>
  </si>
  <si>
    <t>Kg dùng</t>
  </si>
  <si>
    <t>Kg chưa dùng</t>
  </si>
  <si>
    <t>Phiếu Xuất</t>
  </si>
  <si>
    <t>Ghi chú</t>
  </si>
  <si>
    <t>Xuất</t>
  </si>
  <si>
    <t>Phiếu xuất</t>
  </si>
  <si>
    <t>Nhập</t>
  </si>
  <si>
    <t>MR-PPR-15610</t>
  </si>
  <si>
    <t>MR-PPR-23598</t>
  </si>
  <si>
    <t>W</t>
  </si>
  <si>
    <t>JIANGXI CHENMING</t>
  </si>
  <si>
    <t>MR-PPR-15693</t>
  </si>
  <si>
    <t>MR-PPR-23599</t>
  </si>
  <si>
    <t>MR-PPR-15694</t>
  </si>
  <si>
    <t>MR-PPR-23160</t>
  </si>
  <si>
    <t>MR-PPR-16012</t>
  </si>
  <si>
    <t>MR-PPR-23602</t>
  </si>
  <si>
    <t>CCNB</t>
  </si>
  <si>
    <t>H5</t>
  </si>
  <si>
    <t>MR-PPR-16100</t>
  </si>
  <si>
    <t>MR-PPR-22540</t>
  </si>
  <si>
    <t>R</t>
  </si>
  <si>
    <t>ITOCHU</t>
  </si>
  <si>
    <t>inteplast sos</t>
  </si>
  <si>
    <t>2C=70Kg</t>
  </si>
  <si>
    <t>MR-PPR-16101</t>
  </si>
  <si>
    <t>MR-PPR-23603</t>
  </si>
  <si>
    <t>Tjiwi Kimia</t>
  </si>
  <si>
    <t>MR-PPR-17398</t>
  </si>
  <si>
    <t>MR-PPR-22568</t>
  </si>
  <si>
    <t>T</t>
  </si>
  <si>
    <t>INTER - PAPIER</t>
  </si>
  <si>
    <t>MR-PPR-20638</t>
  </si>
  <si>
    <t>INDAH KIAT = Perawang</t>
  </si>
  <si>
    <t>MR-PPR-22135</t>
  </si>
  <si>
    <t>DAEHAN - Elof</t>
  </si>
  <si>
    <t>ag</t>
  </si>
  <si>
    <t>MR-PPR-22154</t>
  </si>
  <si>
    <t>HANKUK</t>
  </si>
  <si>
    <t>orion</t>
  </si>
  <si>
    <t>MR-PPR-22214</t>
  </si>
  <si>
    <t>HANKUK-FSC</t>
  </si>
  <si>
    <t>MR-PPR-22431</t>
  </si>
  <si>
    <t>MR-PPR-22430</t>
  </si>
  <si>
    <t xml:space="preserve">HANKUK </t>
  </si>
  <si>
    <t>orion, cnx</t>
  </si>
  <si>
    <t>2C=640</t>
  </si>
  <si>
    <t>MR-PPR-22596</t>
  </si>
  <si>
    <t>KUAN YUAN</t>
  </si>
  <si>
    <t>MR-PPR-22600</t>
  </si>
  <si>
    <t>9C=1200</t>
  </si>
  <si>
    <t>MR-PPR-22601</t>
  </si>
  <si>
    <t>6C=450</t>
  </si>
  <si>
    <t>MR-PPR-22602</t>
  </si>
  <si>
    <t>MR-PPR-22115</t>
  </si>
  <si>
    <t>3=840</t>
  </si>
  <si>
    <t>MR-PPR-22186</t>
  </si>
  <si>
    <t>MR-PPR-22188</t>
  </si>
  <si>
    <t>MR-PPR-22159</t>
  </si>
  <si>
    <t>acv</t>
  </si>
  <si>
    <t>MR-PPR-22464</t>
  </si>
  <si>
    <t>MR-PPR-22529</t>
  </si>
  <si>
    <t>MR-PPR-23133</t>
  </si>
  <si>
    <t>V</t>
  </si>
  <si>
    <t>JING NIU</t>
  </si>
  <si>
    <t>6C=1705</t>
  </si>
  <si>
    <t>MR-PPR-23134</t>
  </si>
  <si>
    <t>7C=1900</t>
  </si>
  <si>
    <t>MR-PPR-23135</t>
  </si>
  <si>
    <t>đợt 1</t>
  </si>
  <si>
    <t>MR-PPR-13398</t>
  </si>
  <si>
    <t>MR-PPR-23605</t>
  </si>
  <si>
    <t>C2S</t>
  </si>
  <si>
    <t>SHANDONG CHENMING</t>
  </si>
  <si>
    <t>DLT clever</t>
  </si>
  <si>
    <t>4C=1880</t>
  </si>
  <si>
    <t xml:space="preserve"> SHANDONG CHENMING </t>
  </si>
  <si>
    <t>MR-PPR-9293</t>
  </si>
  <si>
    <t>MR-PPR-23606</t>
  </si>
  <si>
    <t>C1</t>
  </si>
  <si>
    <t>CHENGMING</t>
  </si>
  <si>
    <t>MR-PPR-8680</t>
  </si>
  <si>
    <t>MR-PPR-23607</t>
  </si>
  <si>
    <t xml:space="preserve">SilverPak </t>
  </si>
  <si>
    <t>2C=600</t>
  </si>
  <si>
    <t>MR-PPR-18159</t>
  </si>
  <si>
    <t>MR-PPR-23608</t>
  </si>
  <si>
    <t xml:space="preserve"> CHENGMING (High bulk &amp; Super) </t>
  </si>
  <si>
    <t>CHENGMING (High bulk &amp; Super)</t>
  </si>
  <si>
    <t>2C=1190-1C</t>
  </si>
  <si>
    <t xml:space="preserve"> CHENGMING (High bulk &amp; Super)</t>
  </si>
  <si>
    <t>MR-PPR-21819</t>
  </si>
  <si>
    <t>CM</t>
  </si>
  <si>
    <t xml:space="preserve">SHANDONG CHENMING </t>
  </si>
  <si>
    <t>MR-PPR-21721</t>
  </si>
  <si>
    <t>OJI</t>
  </si>
  <si>
    <t>chú ý cấp đúng màu giấy</t>
  </si>
  <si>
    <t>MR-PPR-22556</t>
  </si>
  <si>
    <t xml:space="preserve"> NIPPON</t>
  </si>
  <si>
    <t>MR-PPR-23233</t>
  </si>
  <si>
    <t xml:space="preserve">JIANGXI CHENMING </t>
  </si>
  <si>
    <t>MR-PPR-22721</t>
  </si>
  <si>
    <t>EUROPEAN</t>
  </si>
  <si>
    <t>MR-PPR-22558</t>
  </si>
  <si>
    <t xml:space="preserve"> NIPPON </t>
  </si>
  <si>
    <t>MR-PPR-22557</t>
  </si>
  <si>
    <t>MR-PPR-22559</t>
  </si>
  <si>
    <t>MR-PPR-13406</t>
  </si>
  <si>
    <t>MR-PPR-25301</t>
  </si>
  <si>
    <t>MR-PPR-15840</t>
  </si>
  <si>
    <t>MR-PPR-25298</t>
  </si>
  <si>
    <t>MR-PPR-13407</t>
  </si>
  <si>
    <t>MR-PPR-25299</t>
  </si>
  <si>
    <t>MR-PPR-20635</t>
  </si>
  <si>
    <t>MR-PPR-20637</t>
  </si>
  <si>
    <t>MR-PPR-15777</t>
  </si>
  <si>
    <t>MR-PPR-25303</t>
  </si>
  <si>
    <t xml:space="preserve">Tjiwi Kimia </t>
  </si>
  <si>
    <t>MR-PPR-11854</t>
  </si>
  <si>
    <t>MR-PPR-25297</t>
  </si>
  <si>
    <t>MR-PPR-18587</t>
  </si>
  <si>
    <t>MR-PPR-25300</t>
  </si>
  <si>
    <t>MR-PPR-22574</t>
  </si>
  <si>
    <t>chuyển</t>
  </si>
  <si>
    <t>kd tết</t>
  </si>
  <si>
    <t>MH14551</t>
  </si>
  <si>
    <t>MR-PPR-23773</t>
  </si>
  <si>
    <t>MR-PPR-23945</t>
  </si>
  <si>
    <t>MR-PPR-23840</t>
  </si>
  <si>
    <t>MR-PPR-22132</t>
  </si>
  <si>
    <t>MH14550</t>
  </si>
  <si>
    <t>MR-PPR-23837</t>
  </si>
  <si>
    <t>MR-PPR-23938</t>
  </si>
  <si>
    <t>MR-PPR-23838</t>
  </si>
  <si>
    <t>hamper 1</t>
  </si>
  <si>
    <t>MR-PPR-23940</t>
  </si>
  <si>
    <t>MR-PPR-23774</t>
  </si>
  <si>
    <t>MH14495</t>
  </si>
  <si>
    <t>MR-PPR-23839</t>
  </si>
  <si>
    <t>MH14477</t>
  </si>
  <si>
    <t>MR-PPR-23772</t>
  </si>
  <si>
    <t>giấy nâu (kraft)</t>
  </si>
  <si>
    <t>size 1</t>
  </si>
  <si>
    <t xml:space="preserve">MH14476 </t>
  </si>
  <si>
    <t>MR-PPR-23746</t>
  </si>
  <si>
    <t>giấy CKB</t>
  </si>
  <si>
    <t>gifbox flexo</t>
  </si>
  <si>
    <t>MR-PPR-23748</t>
  </si>
  <si>
    <t>MR-PPR-24062</t>
  </si>
  <si>
    <t>PS3G SDN BHD = j2</t>
  </si>
  <si>
    <t>MR-PPR-24147</t>
  </si>
  <si>
    <t>IK</t>
  </si>
  <si>
    <t>MR-PPR-24148</t>
  </si>
  <si>
    <t>MR-PPR-24149</t>
  </si>
  <si>
    <t>MR-PPR-24151</t>
  </si>
  <si>
    <t>MR-PPR-24152</t>
  </si>
  <si>
    <t>MR-PPR-24155</t>
  </si>
  <si>
    <t>MR-PPR-24156</t>
  </si>
  <si>
    <t>MR-PPR-23140</t>
  </si>
  <si>
    <t>MR-PPR-24173</t>
  </si>
  <si>
    <t>MR-PPR-24174</t>
  </si>
  <si>
    <t>MR-PPR-22522</t>
  </si>
  <si>
    <t>MR-PPR-24184</t>
  </si>
  <si>
    <t>MR-PPR-24175</t>
  </si>
  <si>
    <t>MR-PPR-24176</t>
  </si>
  <si>
    <t>MR-PPR-24008</t>
  </si>
  <si>
    <t> INDAH KIAT</t>
  </si>
  <si>
    <t>MR-PPR-20631</t>
  </si>
  <si>
    <t> INDAH KIAT= Perawang</t>
  </si>
  <si>
    <t>MR-PPR-24002</t>
  </si>
  <si>
    <t>MR-PPR-24003</t>
  </si>
  <si>
    <t>MR-PPR-24006</t>
  </si>
  <si>
    <t>MH14653</t>
  </si>
  <si>
    <t>MH14670</t>
  </si>
  <si>
    <t>MR-PPR-24121</t>
  </si>
  <si>
    <t>17-04</t>
  </si>
  <si>
    <t>MH14692</t>
  </si>
  <si>
    <t>MR-PPR-24146</t>
  </si>
  <si>
    <t> HIKOTE </t>
  </si>
  <si>
    <t>MH14652</t>
  </si>
  <si>
    <t>22-04</t>
  </si>
  <si>
    <t>23-04</t>
  </si>
  <si>
    <t>oreo</t>
  </si>
  <si>
    <t>MR-PPR-24566</t>
  </si>
  <si>
    <t>MH15040</t>
  </si>
  <si>
    <t>JIANGSU BOHUI</t>
  </si>
  <si>
    <t>24-05</t>
  </si>
  <si>
    <t>26-05</t>
  </si>
  <si>
    <t>MR-PPR-23784</t>
  </si>
  <si>
    <t>27-05</t>
  </si>
  <si>
    <t>MR-PPR-25031</t>
  </si>
  <si>
    <t>MR-PPR-25035</t>
  </si>
  <si>
    <t>28-05</t>
  </si>
  <si>
    <t>MR-PPR-23783</t>
  </si>
  <si>
    <t>MR-PPR-21088</t>
  </si>
  <si>
    <t>MR-PPR-25069</t>
  </si>
  <si>
    <t>HANKUK ( FSC MIX)</t>
  </si>
  <si>
    <t xml:space="preserve">	MR-PPR-25065</t>
  </si>
  <si>
    <t>MR-PPR-25065</t>
  </si>
  <si>
    <t>MR-PPR-25068</t>
  </si>
  <si>
    <t>MR-PPR-25066</t>
  </si>
  <si>
    <t>MR-PPR-25067</t>
  </si>
  <si>
    <t>cont 7</t>
  </si>
  <si>
    <t>cont 8</t>
  </si>
  <si>
    <t>cont 9</t>
  </si>
  <si>
    <t>cont 10</t>
  </si>
  <si>
    <t>cont 11</t>
  </si>
  <si>
    <t>cont 13</t>
  </si>
  <si>
    <t>cont 14</t>
  </si>
  <si>
    <t>cont 15</t>
  </si>
  <si>
    <t>MR-PPR-25064</t>
  </si>
  <si>
    <t>cont 16</t>
  </si>
  <si>
    <t>cont 17</t>
  </si>
  <si>
    <t>cont 18</t>
  </si>
  <si>
    <t>cont 19</t>
  </si>
  <si>
    <t>cont 20</t>
  </si>
  <si>
    <t>MR-PPR-22216</t>
  </si>
  <si>
    <t>cont 21</t>
  </si>
  <si>
    <t>MR-PPR-25070</t>
  </si>
  <si>
    <t>cont 22</t>
  </si>
  <si>
    <t xml:space="preserve">	MR-PPR-22216</t>
  </si>
  <si>
    <t>MR-PPR-24353</t>
  </si>
  <si>
    <t>NORDIC</t>
  </si>
  <si>
    <t>5 cont nhập kho 3</t>
  </si>
  <si>
    <t>MH16660</t>
  </si>
  <si>
    <t>L</t>
  </si>
  <si>
    <t xml:space="preserve">JKT
</t>
  </si>
  <si>
    <t>JKT</t>
  </si>
  <si>
    <t>am</t>
  </si>
  <si>
    <t>WU</t>
  </si>
  <si>
    <t>wu</t>
  </si>
  <si>
    <t xml:space="preserve">	MR-PPR-26503</t>
  </si>
  <si>
    <t>MR-PPR-26504</t>
  </si>
  <si>
    <t xml:space="preserve">	MR-PPR-26515</t>
  </si>
  <si>
    <t>MR-PPR-24998</t>
  </si>
  <si>
    <t>18-07-2025</t>
  </si>
  <si>
    <t>MR-PPR-24205</t>
  </si>
  <si>
    <t>NM2 =&gt; KHO 3</t>
  </si>
  <si>
    <t>FO</t>
  </si>
  <si>
    <t>SINO</t>
  </si>
  <si>
    <t>MR-PPR-24215</t>
  </si>
  <si>
    <t>MR-PPR-21791</t>
  </si>
  <si>
    <t>White MG</t>
  </si>
  <si>
    <t>NAGARA</t>
  </si>
  <si>
    <t>MR-PPR-21788</t>
  </si>
  <si>
    <t>MR-PPR-24212</t>
  </si>
  <si>
    <t>MR-PPR-21786</t>
  </si>
  <si>
    <t>MR-PPR-24209</t>
  </si>
  <si>
    <t>MR-PPR-24204</t>
  </si>
  <si>
    <t>MR-PPR-24203</t>
  </si>
  <si>
    <t>MR-PPR-24202</t>
  </si>
  <si>
    <t>MR-PPR-23185</t>
  </si>
  <si>
    <t>White top</t>
  </si>
  <si>
    <t>DAIO</t>
  </si>
  <si>
    <t>MR-PPR-24210</t>
  </si>
  <si>
    <t>MR-PPR-24213</t>
  </si>
  <si>
    <t>MR-PPR-23188</t>
  </si>
  <si>
    <t>19-07-2025</t>
  </si>
  <si>
    <t>MR-PPR-24201</t>
  </si>
  <si>
    <t>MR-PPR-21793</t>
  </si>
  <si>
    <t>MR-PPR-21790</t>
  </si>
  <si>
    <t>MR-PPR-24227</t>
  </si>
  <si>
    <t>MR-PPR-24214</t>
  </si>
  <si>
    <t>MR-PPR-24211</t>
  </si>
  <si>
    <t>23-07-2025</t>
  </si>
  <si>
    <t>MR-PPR-24010</t>
  </si>
  <si>
    <t>24-05-2025</t>
  </si>
  <si>
    <t>ELOF HANSSON</t>
  </si>
  <si>
    <t>MR-PPR-11265</t>
  </si>
  <si>
    <t>MR-PPR-23637</t>
  </si>
  <si>
    <t>MF black</t>
  </si>
  <si>
    <t>MR-PPR-16097</t>
  </si>
  <si>
    <t>MR-PPR-23597</t>
  </si>
  <si>
    <t>White top liner lưng nguyên sinh = CKB</t>
  </si>
  <si>
    <t>BILERUD</t>
  </si>
  <si>
    <t>25-07-2025</t>
  </si>
  <si>
    <t>MR-PPR-24836</t>
  </si>
  <si>
    <t>MR-PPR-11263</t>
  </si>
  <si>
    <t>MR-PPR-23674</t>
  </si>
  <si>
    <t>26-07-2025</t>
  </si>
  <si>
    <t>MR-PPR-22653</t>
  </si>
  <si>
    <t>DAEHAN</t>
  </si>
  <si>
    <t>MR-PPR-19512</t>
  </si>
  <si>
    <t>MR-PPR-22427</t>
  </si>
  <si>
    <t>MR-PPR-21299</t>
  </si>
  <si>
    <t>Jing niu</t>
  </si>
  <si>
    <t>MR-PPR-25361</t>
  </si>
  <si>
    <t>MR-PPR-24803</t>
  </si>
  <si>
    <t>MR-PPR-25407</t>
  </si>
  <si>
    <t>MR-PPR-25364</t>
  </si>
  <si>
    <t>MR-PPR-25367</t>
  </si>
  <si>
    <t>MR-PPR-25409</t>
  </si>
  <si>
    <t>MR-PPR-24990</t>
  </si>
  <si>
    <t>28-7-2025</t>
  </si>
  <si>
    <t>MR-PPR-24459</t>
  </si>
  <si>
    <t>HIKOTE</t>
  </si>
  <si>
    <t>MR-PPR-18663</t>
  </si>
  <si>
    <t>MR-PPR-22737</t>
  </si>
  <si>
    <t>NORDIC - ELOF</t>
  </si>
  <si>
    <t>29-07-2025</t>
  </si>
  <si>
    <t>MR-PPR-26049</t>
  </si>
  <si>
    <t>MR-PPR-26048</t>
  </si>
  <si>
    <t>MR-PPR-26047</t>
  </si>
  <si>
    <t>30-07-2025</t>
  </si>
  <si>
    <t>31-07-2025</t>
  </si>
  <si>
    <t>MR-PPR-24458</t>
  </si>
  <si>
    <t>MR-PPR-24457</t>
  </si>
  <si>
    <t>MR-PPR-13405</t>
  </si>
  <si>
    <t>MR-PPR-23624</t>
  </si>
  <si>
    <t>MR-PPR-21779</t>
  </si>
  <si>
    <t>MR-PPR-19514</t>
  </si>
  <si>
    <t>MR-PPR-22155</t>
  </si>
  <si>
    <t>MR-PPR-22215</t>
  </si>
  <si>
    <t>HASSON</t>
  </si>
  <si>
    <t>MR-PPR-27095</t>
  </si>
  <si>
    <t>20-08</t>
  </si>
  <si>
    <t>MR-PPR-21162</t>
  </si>
  <si>
    <t>CKB Plus</t>
  </si>
  <si>
    <t>Stora Enso</t>
  </si>
  <si>
    <t>22-08</t>
  </si>
  <si>
    <t>JIANGSU BOHU</t>
  </si>
  <si>
    <t>23-08</t>
  </si>
  <si>
    <t>25-08</t>
  </si>
  <si>
    <t>MR-PPR-26985</t>
  </si>
  <si>
    <t>Food paper</t>
  </si>
  <si>
    <t>INDAH KIAT</t>
  </si>
  <si>
    <t>MR-PPR-25990</t>
  </si>
  <si>
    <t>Hokuetsu</t>
  </si>
  <si>
    <t>tranco</t>
  </si>
  <si>
    <t>MR-PPR-25993</t>
  </si>
  <si>
    <t>MR-PPR-25991</t>
  </si>
  <si>
    <t>MR-PPR-25992</t>
  </si>
  <si>
    <t>DEAHAN</t>
  </si>
  <si>
    <t>MR-PPR-24777</t>
  </si>
  <si>
    <t>NM2=&gt;KHO 3</t>
  </si>
  <si>
    <t>MR-PPR-24728</t>
  </si>
  <si>
    <t>MR-PPR-24785</t>
  </si>
  <si>
    <t>MR-PPR-24745</t>
  </si>
  <si>
    <t>MR-PPR-24752</t>
  </si>
  <si>
    <t>MR-PPR-24787</t>
  </si>
  <si>
    <t>MR-PPR-24764</t>
  </si>
  <si>
    <t>MR-PPR-24766</t>
  </si>
  <si>
    <t>MR-PPR-24521</t>
  </si>
  <si>
    <t xml:space="preserve">	MR-PPR-25001</t>
  </si>
  <si>
    <t xml:space="preserve">	MR-PPR-24992</t>
  </si>
  <si>
    <t xml:space="preserve">	MR-PPR-25447</t>
  </si>
  <si>
    <t xml:space="preserve">	MR-PPR-25450</t>
  </si>
  <si>
    <t>MR-PPR-25460</t>
  </si>
  <si>
    <t>NM2 =&gt;KHO 3</t>
  </si>
  <si>
    <t>NM 2=&gt;KHO 3</t>
  </si>
  <si>
    <t>MR-PPR-24731</t>
  </si>
  <si>
    <t>MR-PPR-25789</t>
  </si>
  <si>
    <t>MR-PPR-24726</t>
  </si>
  <si>
    <t>MR-PPR-24742</t>
  </si>
  <si>
    <t>NM2=&gt;KHO3</t>
  </si>
  <si>
    <t>MR-PPR-24758</t>
  </si>
  <si>
    <t>MR-PPR-24746</t>
  </si>
  <si>
    <t>MR-PPR-24776</t>
  </si>
  <si>
    <t>MR-PPR-24751</t>
  </si>
  <si>
    <t>MR-PPR-24759</t>
  </si>
  <si>
    <t>MR-PPR-24993</t>
  </si>
  <si>
    <t xml:space="preserve">	MR-PPR-25004</t>
  </si>
  <si>
    <t xml:space="preserve">	MR-PPR-24776</t>
  </si>
  <si>
    <t>MR-PPR-24438</t>
  </si>
  <si>
    <t>Hanwa</t>
  </si>
  <si>
    <t>MR-PPR-27122</t>
  </si>
  <si>
    <t>MR-PPR-27123</t>
  </si>
  <si>
    <t>MR-PPR-27124</t>
  </si>
  <si>
    <t>MR-PPR-27125</t>
  </si>
  <si>
    <t>MR-PPR-27126</t>
  </si>
  <si>
    <t>MR-PPR-27127</t>
  </si>
  <si>
    <t>MR-PPR-24440</t>
  </si>
  <si>
    <t>MR-PPR-27128</t>
  </si>
  <si>
    <t>MR-PPR-27129</t>
  </si>
  <si>
    <t>MR-PPR-27130</t>
  </si>
  <si>
    <t>MR-PPR-27131</t>
  </si>
  <si>
    <t>MR-PPR-27132</t>
  </si>
  <si>
    <t>MR-PPR-27133</t>
  </si>
  <si>
    <t>MR-PPR-27134</t>
  </si>
  <si>
    <t>MR-PPR-27135</t>
  </si>
  <si>
    <t>MR-PPR-27136</t>
  </si>
  <si>
    <t>MR-PPR-24472</t>
  </si>
  <si>
    <t>DS SMITH &amp; SMURFIT</t>
  </si>
  <si>
    <t>MR-PPR-24773</t>
  </si>
  <si>
    <t>MR-PPR-24727</t>
  </si>
  <si>
    <t>MR-PPR-24753</t>
  </si>
  <si>
    <t>MR-PPR-24749</t>
  </si>
  <si>
    <t>MR-PPR-24760</t>
  </si>
  <si>
    <t>MR-PPR-24750</t>
  </si>
  <si>
    <t>MR-PPR-25458</t>
  </si>
  <si>
    <t>MR-PPR-25420</t>
  </si>
  <si>
    <t>MR-PPR-25418</t>
  </si>
  <si>
    <t>MR-PPR-25415</t>
  </si>
  <si>
    <t>MR-PPR-25416</t>
  </si>
  <si>
    <t xml:space="preserve">	MR-PPR-25422</t>
  </si>
  <si>
    <t xml:space="preserve">	MR-PPR-25423</t>
  </si>
  <si>
    <t xml:space="preserve">	MR-PPR-25424</t>
  </si>
  <si>
    <t xml:space="preserve">	MR-PPR-25425</t>
  </si>
  <si>
    <t>MR-PPR-25431</t>
  </si>
  <si>
    <t>MR-PPR-24771</t>
  </si>
  <si>
    <t xml:space="preserve">	MR-PPR-25005</t>
  </si>
  <si>
    <t>MR-PPR-25437</t>
  </si>
  <si>
    <t>MR-PPR-25366</t>
  </si>
  <si>
    <t>MR-PPR-25362</t>
  </si>
  <si>
    <t>MR-PPR-22725</t>
  </si>
  <si>
    <t>MR-PPR-22441</t>
  </si>
  <si>
    <t>MR-PPR-24850</t>
  </si>
  <si>
    <t>MR-PPR-24849</t>
  </si>
  <si>
    <t>MR-PPR-24979</t>
  </si>
  <si>
    <t>MR-PPR-26519</t>
  </si>
  <si>
    <t>MR-PPR-26621</t>
  </si>
  <si>
    <t>CKB</t>
  </si>
  <si>
    <t>COATED KRAFT BOARD (FSC)</t>
  </si>
  <si>
    <t xml:space="preserve"> INDAH KIAT= Perawang</t>
  </si>
  <si>
    <t>Total Weight</t>
  </si>
  <si>
    <t>Tồn đầu (Số Cuộn)</t>
  </si>
  <si>
    <t xml:space="preserve"> Tồn cuối (Số Cuộn) 
</t>
  </si>
  <si>
    <t xml:space="preserve"> </t>
  </si>
  <si>
    <t xml:space="preserve">         </t>
  </si>
  <si>
    <t xml:space="preserve">                                  </t>
  </si>
  <si>
    <t>MR-PPR-21797</t>
  </si>
  <si>
    <t>ASPEX KUMBONG</t>
  </si>
  <si>
    <t>LH2410.050</t>
  </si>
  <si>
    <t>D18</t>
  </si>
  <si>
    <t>MR-PPR-26516</t>
  </si>
  <si>
    <t>sau chia cuộn</t>
  </si>
  <si>
    <t>x</t>
  </si>
  <si>
    <t>W1</t>
  </si>
  <si>
    <t>CHENGMING Matt</t>
  </si>
  <si>
    <t>LẺ</t>
  </si>
  <si>
    <t>D19</t>
  </si>
  <si>
    <t>MR-PPR-22206</t>
  </si>
  <si>
    <t>B11</t>
  </si>
  <si>
    <t>MR-PPR-22201</t>
  </si>
  <si>
    <t>D10</t>
  </si>
  <si>
    <t>MR-PPR-22209</t>
  </si>
  <si>
    <t>dựng tháp</t>
  </si>
  <si>
    <t>MR-PPR-22453</t>
  </si>
  <si>
    <t>lấy dựng tháp</t>
  </si>
  <si>
    <t>MR-PPR-22200</t>
  </si>
  <si>
    <t>MR-PPR-22128</t>
  </si>
  <si>
    <t>B6</t>
  </si>
  <si>
    <t>MR-PPR-15595</t>
  </si>
  <si>
    <t>MR-PPR-21261</t>
  </si>
  <si>
    <t>D15</t>
  </si>
  <si>
    <t>MR-PPR-24466</t>
  </si>
  <si>
    <t>#11</t>
  </si>
  <si>
    <t>#17</t>
  </si>
  <si>
    <t>MR-PPR-24469</t>
  </si>
  <si>
    <t>#15</t>
  </si>
  <si>
    <t>MR-PPR-24479</t>
  </si>
  <si>
    <t>MH14990</t>
  </si>
  <si>
    <t>#14</t>
  </si>
  <si>
    <t>FDCU0336227</t>
  </si>
  <si>
    <t>#8</t>
  </si>
  <si>
    <t>#9</t>
  </si>
  <si>
    <t>#12</t>
  </si>
  <si>
    <t>BMOU6679879</t>
  </si>
  <si>
    <t>MR-PPR-24478</t>
  </si>
  <si>
    <t>MR-PPR-24470</t>
  </si>
  <si>
    <t>GCXU5112583</t>
  </si>
  <si>
    <t>MR-PPR-24467</t>
  </si>
  <si>
    <t>UACU5681368</t>
  </si>
  <si>
    <t>UETU6885843</t>
  </si>
  <si>
    <t>giấy màu hồng</t>
  </si>
  <si>
    <t>Lẻ</t>
  </si>
  <si>
    <t>Màu hồng</t>
  </si>
  <si>
    <t>MR-PPR-26517</t>
  </si>
  <si>
    <t>se ngoài</t>
  </si>
  <si>
    <t>B22</t>
  </si>
  <si>
    <t>MR-PPR-24769</t>
  </si>
  <si>
    <t>#99</t>
  </si>
  <si>
    <t>MR-PPR-24774</t>
  </si>
  <si>
    <t>#16</t>
  </si>
  <si>
    <t>MR-PPR-24772</t>
  </si>
  <si>
    <t>MR-PPR-24757</t>
  </si>
  <si>
    <t>#19</t>
  </si>
  <si>
    <t>#60</t>
  </si>
  <si>
    <t>MR-PPR-24762</t>
  </si>
  <si>
    <t>#1</t>
  </si>
  <si>
    <t>MR-PPR-24780</t>
  </si>
  <si>
    <t>#67</t>
  </si>
  <si>
    <t>MR-PPR-24761</t>
  </si>
  <si>
    <t>#28</t>
  </si>
  <si>
    <t>MR-PPR-24754</t>
  </si>
  <si>
    <t>#4</t>
  </si>
  <si>
    <t>MR-PPR-24747</t>
  </si>
  <si>
    <t>MR-PPR-24786</t>
  </si>
  <si>
    <t>#7</t>
  </si>
  <si>
    <t>MR-PPR-24783</t>
  </si>
  <si>
    <t>MR-PPR-24775</t>
  </si>
  <si>
    <t>MR-PPR-24779</t>
  </si>
  <si>
    <t>MR-PPR-24765</t>
  </si>
  <si>
    <t>MR-PPR-24778</t>
  </si>
  <si>
    <t>MR-PPR-24788</t>
  </si>
  <si>
    <t>MR-PPR-24784</t>
  </si>
  <si>
    <t>MR-PPR-24791</t>
  </si>
  <si>
    <t>MR-PPR-24793</t>
  </si>
  <si>
    <t>MR-PPR-24795</t>
  </si>
  <si>
    <t>MR-PPR-24790</t>
  </si>
  <si>
    <t>MR-PPR-24763</t>
  </si>
  <si>
    <t>MR-PPR-24782</t>
  </si>
  <si>
    <t>MR-PPR-24781</t>
  </si>
  <si>
    <t>MR-PPR-24789</t>
  </si>
  <si>
    <t>MR-PPR-24792</t>
  </si>
  <si>
    <t>MR-PPR-24823</t>
  </si>
  <si>
    <t>MR-PPR-24837</t>
  </si>
  <si>
    <t>MR-PPR-24843</t>
  </si>
  <si>
    <t>MR-PPR-24822</t>
  </si>
  <si>
    <t>MR-PPR-24796</t>
  </si>
  <si>
    <t>MR-PPR-24797</t>
  </si>
  <si>
    <t>MR-PPR-24794</t>
  </si>
  <si>
    <t>MR-PPR-24748</t>
  </si>
  <si>
    <t>MR-PPR-26518</t>
  </si>
  <si>
    <t>MR-PPR-24992</t>
  </si>
  <si>
    <t>MR-PPR-24989</t>
  </si>
  <si>
    <t>MR-PPR-24996</t>
  </si>
  <si>
    <t>MR-PPR-24988</t>
  </si>
  <si>
    <t>dùng cho nẹp quai KD</t>
  </si>
  <si>
    <t>MR-PPR-24983</t>
  </si>
  <si>
    <t>MR-PPR-23808</t>
  </si>
  <si>
    <t>C12</t>
  </si>
  <si>
    <t>MR-PPR-23788</t>
  </si>
  <si>
    <t>H5a</t>
  </si>
  <si>
    <t>sau chia</t>
  </si>
  <si>
    <t>MR-PPR-25277</t>
  </si>
  <si>
    <t>lẻ</t>
  </si>
  <si>
    <t>kiểm tra lại</t>
  </si>
  <si>
    <t>MR-PPR-26625</t>
  </si>
  <si>
    <t>MR-PPR-22528</t>
  </si>
  <si>
    <t>còn tồn thực tế 1 cuộn</t>
  </si>
  <si>
    <t>HANSOL</t>
  </si>
  <si>
    <t>New-3</t>
  </si>
  <si>
    <t>MR-PPR-11267</t>
  </si>
  <si>
    <t>MR-PPR-25285</t>
  </si>
  <si>
    <t>Hansson</t>
  </si>
  <si>
    <t>B25</t>
  </si>
  <si>
    <t>HEINZEL</t>
  </si>
  <si>
    <t>A2</t>
  </si>
  <si>
    <t>kiểm tra lại tồn kho</t>
  </si>
  <si>
    <t>MR-PPR-17780</t>
  </si>
  <si>
    <t>MR-PPR-23798</t>
  </si>
  <si>
    <t>JEO NJU</t>
  </si>
  <si>
    <t>C8</t>
  </si>
  <si>
    <t>MR-PPR-17779</t>
  </si>
  <si>
    <t>MR-PPR-23799</t>
  </si>
  <si>
    <t>MR-PPR-26632</t>
  </si>
  <si>
    <t>Sau chia cuộn</t>
  </si>
  <si>
    <t>MR-PPR-22448</t>
  </si>
  <si>
    <t>còn tồn 1 cuộn</t>
  </si>
  <si>
    <t>Jr</t>
  </si>
  <si>
    <t>A1</t>
  </si>
  <si>
    <t>MR-PPR-26272</t>
  </si>
  <si>
    <t xml:space="preserve">sau chia </t>
  </si>
  <si>
    <t>MR-PPR-25167</t>
  </si>
  <si>
    <t>JEONJU</t>
  </si>
  <si>
    <t>A15</t>
  </si>
  <si>
    <t>MR-PPR-17928</t>
  </si>
  <si>
    <t>MR-PPR-21156</t>
  </si>
  <si>
    <t>BEAU5057650</t>
  </si>
  <si>
    <t>A17</t>
  </si>
  <si>
    <t>MR-PPR-23672</t>
  </si>
  <si>
    <t>A11</t>
  </si>
  <si>
    <t>TGBU5076853</t>
  </si>
  <si>
    <t>MR-PPR-17931</t>
  </si>
  <si>
    <t>MR-PPR-21264</t>
  </si>
  <si>
    <t>TGBU6283032</t>
  </si>
  <si>
    <t>D</t>
  </si>
  <si>
    <t>MR-PPR-27680</t>
  </si>
  <si>
    <t>MR-PPR-23626</t>
  </si>
  <si>
    <t>KOA</t>
  </si>
  <si>
    <t>giấy stock "no good"</t>
  </si>
  <si>
    <t>A3</t>
  </si>
  <si>
    <t>MR-PPR-23627</t>
  </si>
  <si>
    <t>MR-PPR-22581</t>
  </si>
  <si>
    <t>MH13612</t>
  </si>
  <si>
    <t>D16</t>
  </si>
  <si>
    <t>MR-PPR-25188</t>
  </si>
  <si>
    <t>LEE&amp;MAN</t>
  </si>
  <si>
    <t>2C=130</t>
  </si>
  <si>
    <t>MB</t>
  </si>
  <si>
    <t>LG</t>
  </si>
  <si>
    <t>dính nhau</t>
  </si>
  <si>
    <t>O053</t>
  </si>
  <si>
    <t>MR-PPR-27150</t>
  </si>
  <si>
    <t>O082</t>
  </si>
  <si>
    <t>O058</t>
  </si>
  <si>
    <t>O089</t>
  </si>
  <si>
    <t>đã dùng</t>
  </si>
  <si>
    <t>O136</t>
  </si>
  <si>
    <t>O088</t>
  </si>
  <si>
    <t>O057</t>
  </si>
  <si>
    <t>O054</t>
  </si>
  <si>
    <t>O076</t>
  </si>
  <si>
    <t>O101</t>
  </si>
  <si>
    <t>MR-PPR-24520</t>
  </si>
  <si>
    <t>O087</t>
  </si>
  <si>
    <t>O194</t>
  </si>
  <si>
    <t>O188</t>
  </si>
  <si>
    <t>O212</t>
  </si>
  <si>
    <t>O183</t>
  </si>
  <si>
    <t>MR-PPR-15307</t>
  </si>
  <si>
    <t>MR-PPR-23792</t>
  </si>
  <si>
    <t>MULTICOLOR MIRABELL</t>
  </si>
  <si>
    <t>WW-1</t>
  </si>
  <si>
    <t>MR-PPR-7302</t>
  </si>
  <si>
    <t>MR-PPR-23955</t>
  </si>
  <si>
    <t>Nga</t>
  </si>
  <si>
    <t>ở tháp 13</t>
  </si>
  <si>
    <t>NIPPON</t>
  </si>
  <si>
    <t>C13</t>
  </si>
  <si>
    <t>MR-PPR-25291</t>
  </si>
  <si>
    <t>SAU CHIA CUỘN</t>
  </si>
  <si>
    <t>MR-PPR-25293</t>
  </si>
  <si>
    <t>MR-PPR-23173</t>
  </si>
  <si>
    <t>NIPPON - Woodfree</t>
  </si>
  <si>
    <t>4C=949</t>
  </si>
  <si>
    <t>D8</t>
  </si>
  <si>
    <t>WW</t>
  </si>
  <si>
    <t>MR-PPR-25292</t>
  </si>
  <si>
    <t>W-5</t>
  </si>
  <si>
    <t>MR-PPR-22560</t>
  </si>
  <si>
    <t>MH13599</t>
  </si>
  <si>
    <t>C3</t>
  </si>
  <si>
    <t>MR-PPR-22984</t>
  </si>
  <si>
    <t>MR-PPR-22554</t>
  </si>
  <si>
    <t>HANWA-NHẬT</t>
  </si>
  <si>
    <t>MR-PPR-15734</t>
  </si>
  <si>
    <t>MR-PPR-22855</t>
  </si>
  <si>
    <t>NORPAC</t>
  </si>
  <si>
    <t>5C=1375</t>
  </si>
  <si>
    <t>MR-PPR-23780</t>
  </si>
  <si>
    <t>6C=1726</t>
  </si>
  <si>
    <t>New -1</t>
  </si>
  <si>
    <t>5C=1435</t>
  </si>
  <si>
    <t>New-2</t>
  </si>
  <si>
    <t>5C=1415</t>
  </si>
  <si>
    <t>4C=1104</t>
  </si>
  <si>
    <t>5C=1410</t>
  </si>
  <si>
    <t>4C=1118</t>
  </si>
  <si>
    <t>3C=870</t>
  </si>
  <si>
    <t>New -3</t>
  </si>
  <si>
    <t>MR-PPR-17870</t>
  </si>
  <si>
    <t>MR-PPR-22909</t>
  </si>
  <si>
    <t>MR-PPR-17686</t>
  </si>
  <si>
    <t>MR-PPR-25191</t>
  </si>
  <si>
    <t>cuộn giấy nhăn cắt mẫu ko đc</t>
  </si>
  <si>
    <t>MR-PPR-25287</t>
  </si>
  <si>
    <t>MR-PPR-22943</t>
  </si>
  <si>
    <t>C15</t>
  </si>
  <si>
    <t>MR-PPR-16553</t>
  </si>
  <si>
    <t>MR-PPR-25288</t>
  </si>
  <si>
    <t>OPAL</t>
  </si>
  <si>
    <t>Perawang</t>
  </si>
  <si>
    <t>MR-PPR-26630</t>
  </si>
  <si>
    <t>D9</t>
  </si>
  <si>
    <t>MR-PPR-26628</t>
  </si>
  <si>
    <t>MR-PPR-26629</t>
  </si>
  <si>
    <t>MR-PPR-15424</t>
  </si>
  <si>
    <t>Performa Cream</t>
  </si>
  <si>
    <t>Nguyên</t>
  </si>
  <si>
    <t>D1</t>
  </si>
  <si>
    <t>MR-PPR-24463</t>
  </si>
  <si>
    <t>PS3G SDN BHD</t>
  </si>
  <si>
    <t>MR-PPR-24462</t>
  </si>
  <si>
    <t>MR-PPR-24461</t>
  </si>
  <si>
    <t>MR-PPR-24460</t>
  </si>
  <si>
    <t>MR-PPR-15778</t>
  </si>
  <si>
    <t>MR-PPR-23801</t>
  </si>
  <si>
    <t>C</t>
  </si>
  <si>
    <t>MR-PPR-16169</t>
  </si>
  <si>
    <t>MR-PPR-23803</t>
  </si>
  <si>
    <t>D11</t>
  </si>
  <si>
    <t>MR-PPR-25302</t>
  </si>
  <si>
    <t>MR-PPR-13412</t>
  </si>
  <si>
    <t>MR-PPR-22571</t>
  </si>
  <si>
    <t xml:space="preserve">cuộn này đã cùng </t>
  </si>
  <si>
    <t>B23</t>
  </si>
  <si>
    <t>MR-PPR-23802</t>
  </si>
  <si>
    <t>W-1</t>
  </si>
  <si>
    <t>MR-PPR-11897</t>
  </si>
  <si>
    <t>MR-PPR-23790</t>
  </si>
  <si>
    <t>C11</t>
  </si>
  <si>
    <t>MR-PPR-21097</t>
  </si>
  <si>
    <t>XSD GOLD MAPLE</t>
  </si>
  <si>
    <t>MR-PPR-17290</t>
  </si>
  <si>
    <t>MR-PPR-21105</t>
  </si>
  <si>
    <t>MR-PPR-25184</t>
  </si>
  <si>
    <t>MR-PPR-6204</t>
  </si>
  <si>
    <t>MR-PPR-25185</t>
  </si>
  <si>
    <t>đã cấp cho tạo ổng</t>
  </si>
  <si>
    <t>MR-PPR-25186</t>
  </si>
  <si>
    <t>MR-PPR-25187</t>
  </si>
  <si>
    <t>MR-PPR-25189</t>
  </si>
  <si>
    <t>3C=1640</t>
  </si>
  <si>
    <t>7C=2024</t>
  </si>
  <si>
    <t>MR-PPR-4639</t>
  </si>
  <si>
    <t>MR-PPR-25193</t>
  </si>
  <si>
    <t>MR-PPR-25294</t>
  </si>
  <si>
    <t>W-4</t>
  </si>
  <si>
    <t>MR-PPR-25190</t>
  </si>
  <si>
    <t>MR-PPR-15309</t>
  </si>
  <si>
    <t>MR-PPR-26627</t>
  </si>
  <si>
    <t xml:space="preserve"> MILTICOLOR BELVEDERE</t>
  </si>
  <si>
    <t>KT16/9</t>
  </si>
  <si>
    <t>WW-3</t>
  </si>
  <si>
    <t>Kiểm tồn 16/9</t>
  </si>
  <si>
    <t>N</t>
  </si>
  <si>
    <t>D12</t>
  </si>
  <si>
    <t>mặt giấy Krarf</t>
  </si>
  <si>
    <t>MR-PPR-13144</t>
  </si>
  <si>
    <t>MR-PPR-23610</t>
  </si>
  <si>
    <t>CHENGMING (HIGH BULK &amp; SUPER)</t>
  </si>
  <si>
    <t>se trong</t>
  </si>
  <si>
    <t>MR-PPR-24857</t>
  </si>
  <si>
    <t>#66</t>
  </si>
  <si>
    <t>HLBU1751171</t>
  </si>
  <si>
    <t>FDCU0190092</t>
  </si>
  <si>
    <t>HAMU1988610</t>
  </si>
  <si>
    <t>HLXU8285982</t>
  </si>
  <si>
    <t>HLXU8485281</t>
  </si>
  <si>
    <t>MR-PPR-24480</t>
  </si>
  <si>
    <t>T=&gt; R</t>
  </si>
  <si>
    <t>MR-PPR-24455</t>
  </si>
  <si>
    <t xml:space="preserve">NORDIC </t>
  </si>
  <si>
    <t>MR-PPR-24352</t>
  </si>
  <si>
    <t>MR-PPR-25447</t>
  </si>
  <si>
    <t>KHÔNG NHẬN</t>
  </si>
  <si>
    <t>MR-PPR-25449</t>
  </si>
  <si>
    <t>KHO 3=&gt;NM2</t>
  </si>
  <si>
    <t>MR-PPR-23650</t>
  </si>
  <si>
    <t>MR-PPR-23649</t>
  </si>
  <si>
    <t>MR-PPR-21789</t>
  </si>
  <si>
    <t>MR-PPR-21787</t>
  </si>
  <si>
    <t>MR-PPR-21792</t>
  </si>
  <si>
    <t>MR-PPR-24208</t>
  </si>
  <si>
    <t>MR-PPR-24200</t>
  </si>
  <si>
    <t>tạo ống</t>
  </si>
  <si>
    <t>MR-PPR-24199</t>
  </si>
  <si>
    <t>MR-PPR-24207</t>
  </si>
  <si>
    <t>MR-PPR-24206</t>
  </si>
  <si>
    <t>MR-PPR-11266</t>
  </si>
  <si>
    <t>MR-PPR-23675</t>
  </si>
  <si>
    <t>MR-PPR-23177</t>
  </si>
  <si>
    <t>cấp 3 cuộn tạo ống ngày 25/7</t>
  </si>
  <si>
    <t>MR-PPR-23182</t>
  </si>
  <si>
    <t>MR-PPR-16235</t>
  </si>
  <si>
    <t>MR-PPR-23636</t>
  </si>
  <si>
    <t>white top</t>
  </si>
  <si>
    <t xml:space="preserve">INTER - PAPIER </t>
  </si>
  <si>
    <t>MR-PPR-24218</t>
  </si>
  <si>
    <t>MR-PPR-24217</t>
  </si>
  <si>
    <t>MR-PPR-24216</t>
  </si>
  <si>
    <t>MR-PPR-24221</t>
  </si>
  <si>
    <t>MR-PPR-24222</t>
  </si>
  <si>
    <t>MR-PPR-24223</t>
  </si>
  <si>
    <t>MR-PPR-16234</t>
  </si>
  <si>
    <t>MR-PPR-23634</t>
  </si>
  <si>
    <t>MR-PPR-24220</t>
  </si>
  <si>
    <t>MR-PPR-16238</t>
  </si>
  <si>
    <t>MR-PPR-23633</t>
  </si>
  <si>
    <t>MR-PPR-26456</t>
  </si>
  <si>
    <t>MR-PPR-26631</t>
  </si>
  <si>
    <t>sau chia cuộn  (2 cuộn)</t>
  </si>
  <si>
    <t>MR-PPR-27681</t>
  </si>
  <si>
    <t>MR-PPR-25410</t>
  </si>
  <si>
    <t>MR-PPR-25413</t>
  </si>
  <si>
    <t xml:space="preserve">	MR-PPR-25417</t>
  </si>
  <si>
    <t xml:space="preserve">	MR-PPR-25418</t>
  </si>
  <si>
    <t>MR-PPR-25419</t>
  </si>
  <si>
    <t xml:space="preserve">	MR-PPR-25420</t>
  </si>
  <si>
    <t xml:space="preserve">	MR-PPR-25426</t>
  </si>
  <si>
    <t xml:space="preserve">	MR-PPR-25428</t>
  </si>
  <si>
    <t>MR-PPR-25429</t>
  </si>
  <si>
    <t xml:space="preserve">	MR-PPR-25430</t>
  </si>
  <si>
    <t>MR-PPR-25433</t>
  </si>
  <si>
    <t>MR-PPR-25434</t>
  </si>
  <si>
    <t xml:space="preserve">	MR-PPR-25435</t>
  </si>
  <si>
    <t xml:space="preserve">	MR-PPR-25441</t>
  </si>
  <si>
    <t>MR-PPR-25448</t>
  </si>
  <si>
    <t xml:space="preserve">	MR-PPR-25449</t>
  </si>
  <si>
    <t xml:space="preserve">	MR-PPR-25458</t>
  </si>
  <si>
    <t xml:space="preserve">	MR-PPR-25459</t>
  </si>
  <si>
    <t xml:space="preserve">	MR-PPR-24769</t>
  </si>
  <si>
    <t>MR-PPR-25461</t>
  </si>
  <si>
    <t>MR-PPR-25462</t>
  </si>
  <si>
    <t>MR-PPR-24439</t>
  </si>
  <si>
    <t>27-08-2025</t>
  </si>
  <si>
    <t>MR-PPR-22856</t>
  </si>
  <si>
    <t>MR-PPR-21684</t>
  </si>
  <si>
    <t xml:space="preserve">	MR-PPR-22994</t>
  </si>
  <si>
    <t xml:space="preserve">	MR-PPR-20832</t>
  </si>
  <si>
    <t xml:space="preserve">	MR-PPR-24615</t>
  </si>
  <si>
    <t>MR-PPR-23404</t>
  </si>
  <si>
    <t>kiểm lại tồn</t>
  </si>
  <si>
    <t xml:space="preserve">	MR-PPR-20519</t>
  </si>
  <si>
    <t>CKB (FSC)</t>
  </si>
  <si>
    <t>MR-PPR-22657</t>
  </si>
  <si>
    <t>tổn 1 cuộn</t>
  </si>
  <si>
    <t xml:space="preserve">	MR-PPR-27493</t>
  </si>
  <si>
    <t>MR-PPR-27511</t>
  </si>
  <si>
    <t>MR-PPR-21512</t>
  </si>
  <si>
    <t>MR-PPR-21949</t>
  </si>
  <si>
    <t>MR-PPR-27586</t>
  </si>
  <si>
    <t>MR-PPR-27712</t>
  </si>
  <si>
    <t>MR-PPR-23332</t>
  </si>
  <si>
    <t>MR-PPR-21137</t>
  </si>
  <si>
    <t xml:space="preserve">	MR-PPR-27739</t>
  </si>
  <si>
    <t xml:space="preserve">	MR-PPR-26364</t>
  </si>
  <si>
    <t>MR-PPR-23706</t>
  </si>
  <si>
    <t xml:space="preserve">	MR-PPR-27743</t>
  </si>
  <si>
    <t>MR-PPR-27825</t>
  </si>
  <si>
    <t xml:space="preserve">	MR-PPR-27862</t>
  </si>
  <si>
    <t>MR-PPR-27587</t>
  </si>
  <si>
    <t>MR-PPR-27861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</si>
</sst>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&quot; Kg&quot;"/>
    <numFmt numFmtId="166" formatCode="0&quot; Mét&quot;"/>
    <numFmt numFmtId="167" formatCode="_-* #,##0_-;\-* #,##0_-;_-* &quot;-&quot;??_-;_-@_-"/>
    <numFmt numFmtId="168" formatCode="#,#00&quot; Kg&quot;"/>
    <numFmt numFmtId="169" formatCode="[$-409]d\-mmm;@"/>
  </numFmts>
  <fonts count="24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charset val="163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63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3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4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3" fillId="0" borderId="0"/>
    <xf numFmtId="0" fontId="10" fillId="0" borderId="0"/>
    <xf numFmtId="0" fontId="11" fillId="0" borderId="0">
      <alignment vertical="center"/>
    </xf>
  </cellStyleXfs>
  <cellXfs count="62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6" fontId="16" fillId="2" borderId="1" xfId="1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68" fontId="7" fillId="2" borderId="1" xfId="1" applyNumberFormat="1" applyFont="1" applyFill="1" applyBorder="1" applyAlignment="1">
      <alignment horizontal="center" vertical="center" wrapText="1"/>
    </xf>
    <xf numFmtId="167" fontId="16" fillId="2" borderId="1" xfId="1" applyNumberFormat="1" applyFont="1" applyFill="1" applyBorder="1" applyAlignment="1">
      <alignment horizontal="center" vertical="center" wrapText="1"/>
    </xf>
    <xf numFmtId="4" fontId="16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168" fontId="14" fillId="5" borderId="1" xfId="0" applyNumberFormat="1" applyFont="1" applyFill="1" applyBorder="1" applyAlignment="1">
      <alignment horizontal="center" vertical="center" wrapText="1"/>
    </xf>
    <xf numFmtId="168" fontId="9" fillId="5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7" fillId="2" borderId="1" xfId="1" applyNumberFormat="1" applyFont="1" applyFill="1" applyBorder="1" applyAlignment="1">
      <alignment horizontal="center" vertical="center" wrapText="1"/>
    </xf>
    <xf numFmtId="3" fontId="7" fillId="7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4" fontId="23" fillId="4" borderId="1" xfId="0" applyNumberFormat="1" applyFont="1" applyFill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168" fontId="14" fillId="0" borderId="1" xfId="0" applyNumberFormat="1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164" fontId="1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" fontId="20" fillId="6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16" fontId="20" fillId="6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>
      <alignment horizontal="center" vertical="center" wrapText="1"/>
    </xf>
    <xf numFmtId="166" fontId="16" fillId="2" borderId="1" xfId="1" applyNumberFormat="1" applyFont="1" applyFill="1" applyBorder="1" applyAlignment="1">
      <alignment horizontal="center" vertical="center" wrapText="1"/>
    </xf>
    <xf numFmtId="164" fontId="1" fillId="4" borderId="1" xfId="1" applyNumberFormat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 wrapText="1"/>
    </xf>
    <xf numFmtId="16" fontId="16" fillId="2" borderId="1" xfId="0" applyNumberFormat="1" applyFont="1" applyFill="1" applyBorder="1" applyAlignment="1">
      <alignment horizontal="center" vertical="center" wrapText="1"/>
    </xf>
    <xf numFmtId="169" fontId="16" fillId="2" borderId="1" xfId="0" applyNumberFormat="1" applyFont="1" applyFill="1" applyBorder="1" applyAlignment="1">
      <alignment horizontal="center" vertical="center" wrapText="1"/>
    </xf>
  </cellXfs>
  <cellStyles count="13">
    <cellStyle name="Bình thường 2" xfId="2" xr:uid="{1321A8E1-6559-4C16-9C22-57BBFC789CB1}"/>
    <cellStyle name="Comma" xfId="1" builtinId="3"/>
    <cellStyle name="Comma 11" xfId="3" xr:uid="{81E54EFC-D83A-4EC1-A89F-9004B66CF804}"/>
    <cellStyle name="Comma 11 2" xfId="4" xr:uid="{AF11FC27-78A7-4DBE-8022-D3204BFB486E}"/>
    <cellStyle name="Comma 2" xfId="5" xr:uid="{F12EF080-E648-457A-A776-9A6A175CBFDF}"/>
    <cellStyle name="Comma 2 2" xfId="6" xr:uid="{5B174382-E79D-4597-A235-4E99E6B557D2}"/>
    <cellStyle name="Comma 3" xfId="7" xr:uid="{54E15EA7-B12E-4759-B181-9B978318678C}"/>
    <cellStyle name="Comma 4" xfId="8" xr:uid="{C9B0EBFD-7055-4A5D-B2BE-D3E6AD24BA5D}"/>
    <cellStyle name="Normal" xfId="0" builtinId="0"/>
    <cellStyle name="Normal 2" xfId="9" xr:uid="{94CB1D30-CCEF-4A4E-95B0-86D51E28F367}"/>
    <cellStyle name="Normal 3" xfId="10" xr:uid="{FAF8949F-5D5D-4FCE-8135-5E3628563AA5}"/>
    <cellStyle name="Normal 3 2" xfId="11" xr:uid="{C97D5019-0298-48A0-B7DC-A09A94BA7DD7}"/>
    <cellStyle name="Normal 4" xfId="12" xr:uid="{03147D8F-3F30-42E9-8750-932D312FBAA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08s15\&#20849;&#26377;\&#26357;&#38291;\&#24863;&#29105;&#32025;&#21942;&#26989;&#20250;&#35696;&#36039;&#26009;\&#65297;&#65297;&#24180;&#24230;&#22770;&#20385;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40d1e.kk40d1b.local\FileServer\010&#26085;&#26412;&#35069;&#32025;&#26412;&#31038;\130&#24773;&#22577;&#12539;&#29987;&#26989;&#29992;&#32025;&#21942;&#26989;&#26412;&#37096;\010&#24773;&#22577;&#29992;&#32025;&#19968;&#37096;\05&#20844;&#38283;\040&#24773;&#22577;&#29992;&#32025;&#35336;&#30011;&#65319;\&#24863;&#29105;&#32025;&#29983;&#29987;&#35336;&#30011;\&#20104;&#31639;\2018&#12288;&#20462;&#27491;&#20104;&#31639;\&#21407;&#32025;&#38306;&#20418;2018\&#19979;&#26399;&#12398;&#21407;&#32025;&#65288;2018&#20462;&#27491;&#20104;&#31639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08s15\&#20849;&#26377;\10.&#24773;&#22577;&#29992;&#32025;&#19968;&#37096;\&#24863;&#29105;&#32025;&#65319;\96%20&#20104;&#31639;&#65295;&#25613;&#30410;\H21%20&#24403;&#21021;&#20104;&#31639;\2003&#20462;&#27491;&#20104;&#3163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08s15\&#20849;&#26377;\&#26357;&#38291;\&#24863;&#29105;&#32025;&#21942;&#26989;&#20250;&#35696;&#36039;&#26009;\&#21942;&#26989;&#20250;&#35696;\&#65296;&#65298;&#24180;&#21942;&#26989;&#20250;&#35696;&#22522;&#30990;&#36039;&#260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04"/>
      <sheetName val="9905"/>
      <sheetName val="9906"/>
      <sheetName val="9907"/>
      <sheetName val="9908"/>
      <sheetName val="9909"/>
      <sheetName val="9910"/>
      <sheetName val="9911"/>
      <sheetName val="9912"/>
      <sheetName val="0001"/>
      <sheetName val="0001(2)"/>
      <sheetName val="0002"/>
      <sheetName val="0002(2)"/>
      <sheetName val="0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下記！！"/>
      <sheetName val="Sheet1"/>
      <sheetName val="原紙在庫"/>
      <sheetName val="元（年月確認）"/>
      <sheetName val="生販在"/>
      <sheetName val="元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感熱2003当初予算"/>
      <sheetName val="実績1"/>
      <sheetName val="実績2"/>
      <sheetName val="Sheet1"/>
      <sheetName val="地区別実績"/>
      <sheetName val="作表"/>
      <sheetName val="計ﾃｰﾌﾞﾙ"/>
      <sheetName val="作表　様式変更"/>
      <sheetName val="作表　入力用"/>
      <sheetName val="Sheet5"/>
      <sheetName val="銘柄まとめ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204基礎資料"/>
      <sheetName val="0204小巻"/>
      <sheetName val="0204銘柄分類"/>
      <sheetName val="0205基礎資料"/>
      <sheetName val="0205小巻"/>
      <sheetName val="0205銘柄分類"/>
      <sheetName val="0206基礎資料"/>
      <sheetName val="0206小巻"/>
      <sheetName val="0206銘柄分類"/>
      <sheetName val="0207基礎資料"/>
      <sheetName val="0207小巻"/>
      <sheetName val="0207銘柄分類"/>
      <sheetName val="0208基礎資料"/>
      <sheetName val="0208小巻"/>
      <sheetName val="0208銘柄分類"/>
      <sheetName val="0209基礎資料"/>
      <sheetName val="0209小巻"/>
      <sheetName val="0209銘柄分類"/>
      <sheetName val="0210基礎資料"/>
      <sheetName val="0210小巻"/>
      <sheetName val="0210銘柄分類"/>
      <sheetName val="0211基礎資料"/>
      <sheetName val="02011小巻"/>
      <sheetName val="0211銘柄分類"/>
      <sheetName val="0212基礎資料"/>
      <sheetName val="0212小巻"/>
      <sheetName val="0212銘柄分類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413F2F2-666F-42AC-984F-718DE1D64591}">
    <nsvFilter filterId="{B0EF6E06-D237-48B6-AE92-337BA9523D4F}" ref="A3:CH721" tableId="0"/>
  </namedSheetView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7" Type="http://schemas.openxmlformats.org/officeDocument/2006/relationships/comments" Target="../comments2.xml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6E06-D237-48B6-AE92-337BA9523D4F}">
  <sheetPr codeName="Sheet4"/>
  <dimension ref="A1:CH721"/>
  <sheetViews>
    <sheetView zoomScale="86" zoomScaleNormal="92" workbookViewId="0">
      <pane xSplit="13" ySplit="3" topLeftCell="N45" activePane="bottomRight" state="frozen"/>
      <selection pane="topRight" activeCell="N1" sqref="N1"/>
      <selection pane="bottomLeft" activeCell="A4" sqref="A4"/>
      <selection pane="bottomRight" activeCell="D8" sqref="D8"/>
    </sheetView>
  </sheetViews>
  <sheetFormatPr defaultColWidth="9.109375" defaultRowHeight="14.4"/>
  <cols>
    <col min="1" max="1" width="16.6640625" style="14" customWidth="1"/>
    <col min="2" max="2" width="14.33203125" style="14" customWidth="1"/>
    <col min="3" max="3" width="15.33203125" style="14" customWidth="1"/>
    <col min="4" max="4" width="11.33203125" style="14" customWidth="1"/>
    <col min="5" max="5" width="22" style="14" customWidth="1"/>
    <col min="6" max="6" width="14.44140625" style="14" customWidth="1"/>
    <col min="7" max="7" width="18.6640625" style="14" customWidth="1"/>
    <col min="8" max="8" width="14.88671875" style="14" bestFit="1" customWidth="1"/>
    <col min="9" max="9" width="10.6640625" style="14" customWidth="1"/>
    <col min="10" max="10" width="17.44140625" style="15" customWidth="1"/>
    <col min="11" max="11" width="15.88671875" style="14" customWidth="1"/>
    <col min="12" max="12" width="13.109375" style="14" bestFit="1" customWidth="1"/>
    <col min="13" max="13" width="10.88671875" style="14" customWidth="1"/>
    <col min="14" max="14" width="12.33203125" style="14" customWidth="1"/>
    <col min="15" max="15" width="11.44140625" style="16" customWidth="1"/>
    <col min="16" max="16" width="18.88671875" style="16" bestFit="1" customWidth="1"/>
    <col min="17" max="19" width="9.109375" style="14"/>
    <col min="20" max="20" width="16.6640625" style="14" customWidth="1"/>
    <col min="21" max="21" width="9.33203125" style="14" bestFit="1" customWidth="1"/>
    <col min="22" max="23" width="9.109375" style="14"/>
    <col min="24" max="86" width="9.33203125" style="14" bestFit="1" customWidth="1"/>
    <col min="87" max="16384" width="9.109375" style="14"/>
  </cols>
  <sheetData>
    <row r="1" spans="1:86" ht="33" customHeight="1">
      <c r="A1" s="47" t="s">
        <v>0</v>
      </c>
      <c r="B1" s="48" t="s">
        <v>1</v>
      </c>
      <c r="C1" s="48" t="s">
        <v>2</v>
      </c>
      <c r="D1" s="48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9" t="s">
        <v>9</v>
      </c>
      <c r="K1" s="50" t="s">
        <v>10</v>
      </c>
      <c r="L1" s="47" t="s">
        <v>11</v>
      </c>
      <c r="M1" s="47" t="s">
        <v>12</v>
      </c>
      <c r="N1" s="47" t="s">
        <v>13</v>
      </c>
      <c r="O1" s="47"/>
      <c r="P1" s="47"/>
      <c r="Q1" s="47" t="s">
        <v>14</v>
      </c>
      <c r="R1" s="47" t="s">
        <v>15</v>
      </c>
      <c r="S1" s="17" t="s">
        <v>16</v>
      </c>
      <c r="T1" s="17" t="s">
        <v>16</v>
      </c>
      <c r="U1" s="47" t="s">
        <v>12</v>
      </c>
      <c r="V1" s="47" t="s">
        <v>17</v>
      </c>
      <c r="W1" s="47" t="s">
        <v>18</v>
      </c>
      <c r="X1" s="51">
        <v>45931</v>
      </c>
      <c r="Y1" s="50"/>
      <c r="Z1" s="51">
        <f>X1+1</f>
        <v>45932</v>
      </c>
      <c r="AA1" s="50"/>
      <c r="AB1" s="51">
        <f>Z1+1</f>
        <v>45933</v>
      </c>
      <c r="AC1" s="50"/>
      <c r="AD1" s="51">
        <f t="shared" ref="AD1" si="0">AB1+1</f>
        <v>45934</v>
      </c>
      <c r="AE1" s="50"/>
      <c r="AF1" s="51">
        <f t="shared" ref="AF1" si="1">AD1+1</f>
        <v>45935</v>
      </c>
      <c r="AG1" s="50"/>
      <c r="AH1" s="51">
        <f>AF1+1</f>
        <v>45936</v>
      </c>
      <c r="AI1" s="50"/>
      <c r="AJ1" s="51">
        <f>AH1+1</f>
        <v>45937</v>
      </c>
      <c r="AK1" s="50"/>
      <c r="AL1" s="51">
        <f>AJ1+1</f>
        <v>45938</v>
      </c>
      <c r="AM1" s="50"/>
      <c r="AN1" s="50"/>
      <c r="AO1" s="51">
        <f>AL1+1</f>
        <v>45939</v>
      </c>
      <c r="AP1" s="50"/>
      <c r="AQ1" s="51">
        <f>AO1+1</f>
        <v>45940</v>
      </c>
      <c r="AR1" s="50"/>
      <c r="AS1" s="51">
        <f>AQ1+1</f>
        <v>45941</v>
      </c>
      <c r="AT1" s="50"/>
      <c r="AU1" s="51">
        <f>AS1+1</f>
        <v>45942</v>
      </c>
      <c r="AV1" s="50"/>
      <c r="AW1" s="51">
        <f>AU1+1</f>
        <v>45943</v>
      </c>
      <c r="AX1" s="50"/>
      <c r="AY1" s="51">
        <f>AW1+1</f>
        <v>45944</v>
      </c>
      <c r="AZ1" s="50"/>
      <c r="BA1" s="51">
        <f>AY1+1</f>
        <v>45945</v>
      </c>
      <c r="BB1" s="50"/>
      <c r="BC1" s="51">
        <f>BA1+1</f>
        <v>45946</v>
      </c>
      <c r="BD1" s="50"/>
      <c r="BE1" s="51">
        <f>BC1+1</f>
        <v>45947</v>
      </c>
      <c r="BF1" s="50"/>
      <c r="BG1" s="51">
        <f>BE1+1</f>
        <v>45948</v>
      </c>
      <c r="BH1" s="50"/>
      <c r="BI1" s="51">
        <f>BG1+1</f>
        <v>45949</v>
      </c>
      <c r="BJ1" s="50"/>
      <c r="BK1" s="51">
        <f>BI1+1</f>
        <v>45950</v>
      </c>
      <c r="BL1" s="50"/>
      <c r="BM1" s="51">
        <f>BK1+1</f>
        <v>45951</v>
      </c>
      <c r="BN1" s="50"/>
      <c r="BO1" s="51">
        <f>BM1+1</f>
        <v>45952</v>
      </c>
      <c r="BP1" s="50"/>
      <c r="BQ1" s="51">
        <f>BO1+1</f>
        <v>45953</v>
      </c>
      <c r="BR1" s="50"/>
      <c r="BS1" s="51">
        <f>BQ1+1</f>
        <v>45954</v>
      </c>
      <c r="BT1" s="50"/>
      <c r="BU1" s="51">
        <f>BS1+1</f>
        <v>45955</v>
      </c>
      <c r="BV1" s="50"/>
      <c r="BW1" s="51">
        <f>BU1+1</f>
        <v>45956</v>
      </c>
      <c r="BX1" s="50"/>
      <c r="BY1" s="51">
        <f>BW1+1</f>
        <v>45957</v>
      </c>
      <c r="BZ1" s="50"/>
      <c r="CA1" s="51">
        <f>BY1+1</f>
        <v>45958</v>
      </c>
      <c r="CB1" s="50"/>
      <c r="CC1" s="51">
        <f>CA1+1</f>
        <v>45959</v>
      </c>
      <c r="CD1" s="50"/>
      <c r="CE1" s="51">
        <f>CC1+1</f>
        <v>45960</v>
      </c>
      <c r="CF1" s="50"/>
      <c r="CG1" s="51">
        <f>CE1+1</f>
        <v>45961</v>
      </c>
      <c r="CH1" s="50"/>
    </row>
    <row r="2" spans="1:86" ht="33" customHeight="1">
      <c r="A2" s="47"/>
      <c r="B2" s="48"/>
      <c r="C2" s="48"/>
      <c r="D2" s="48"/>
      <c r="E2" s="47"/>
      <c r="F2" s="47"/>
      <c r="G2" s="47"/>
      <c r="H2" s="47"/>
      <c r="I2" s="47"/>
      <c r="J2" s="49"/>
      <c r="K2" s="50"/>
      <c r="L2" s="47"/>
      <c r="M2" s="47"/>
      <c r="N2" s="17" t="s">
        <v>19</v>
      </c>
      <c r="O2" s="19" t="s">
        <v>20</v>
      </c>
      <c r="P2" s="20" t="s">
        <v>21</v>
      </c>
      <c r="Q2" s="47"/>
      <c r="R2" s="47"/>
      <c r="S2" s="17" t="s">
        <v>22</v>
      </c>
      <c r="T2" s="17" t="s">
        <v>23</v>
      </c>
      <c r="U2" s="47"/>
      <c r="V2" s="47"/>
      <c r="W2" s="47"/>
      <c r="X2" s="18" t="s">
        <v>24</v>
      </c>
      <c r="Y2" s="18" t="s">
        <v>25</v>
      </c>
      <c r="Z2" s="18" t="s">
        <v>24</v>
      </c>
      <c r="AA2" s="18" t="s">
        <v>25</v>
      </c>
      <c r="AB2" s="18" t="s">
        <v>24</v>
      </c>
      <c r="AC2" s="18" t="s">
        <v>25</v>
      </c>
      <c r="AD2" s="18" t="s">
        <v>24</v>
      </c>
      <c r="AE2" s="18" t="s">
        <v>26</v>
      </c>
      <c r="AF2" s="18" t="s">
        <v>24</v>
      </c>
      <c r="AG2" s="18" t="s">
        <v>25</v>
      </c>
      <c r="AH2" s="18" t="s">
        <v>24</v>
      </c>
      <c r="AI2" s="18" t="s">
        <v>25</v>
      </c>
      <c r="AJ2" s="18" t="s">
        <v>24</v>
      </c>
      <c r="AK2" s="18" t="s">
        <v>26</v>
      </c>
      <c r="AL2" s="18" t="s">
        <v>24</v>
      </c>
      <c r="AM2" s="18" t="s">
        <v>16</v>
      </c>
      <c r="AN2" s="18" t="s">
        <v>26</v>
      </c>
      <c r="AO2" s="18" t="s">
        <v>24</v>
      </c>
      <c r="AP2" s="18" t="s">
        <v>26</v>
      </c>
      <c r="AQ2" s="18" t="s">
        <v>24</v>
      </c>
      <c r="AR2" s="18" t="s">
        <v>26</v>
      </c>
      <c r="AS2" s="18" t="s">
        <v>24</v>
      </c>
      <c r="AT2" s="18" t="s">
        <v>26</v>
      </c>
      <c r="AU2" s="18" t="s">
        <v>24</v>
      </c>
      <c r="AV2" s="18" t="s">
        <v>26</v>
      </c>
      <c r="AW2" s="18" t="s">
        <v>24</v>
      </c>
      <c r="AX2" s="18" t="s">
        <v>26</v>
      </c>
      <c r="AY2" s="18" t="s">
        <v>24</v>
      </c>
      <c r="AZ2" s="18" t="s">
        <v>26</v>
      </c>
      <c r="BA2" s="18" t="s">
        <v>24</v>
      </c>
      <c r="BB2" s="18" t="s">
        <v>26</v>
      </c>
      <c r="BC2" s="18" t="s">
        <v>24</v>
      </c>
      <c r="BD2" s="18" t="s">
        <v>26</v>
      </c>
      <c r="BE2" s="18" t="s">
        <v>24</v>
      </c>
      <c r="BF2" s="18" t="s">
        <v>26</v>
      </c>
      <c r="BG2" s="18" t="s">
        <v>24</v>
      </c>
      <c r="BH2" s="18" t="s">
        <v>26</v>
      </c>
      <c r="BI2" s="18" t="s">
        <v>24</v>
      </c>
      <c r="BJ2" s="18" t="s">
        <v>26</v>
      </c>
      <c r="BK2" s="18" t="s">
        <v>24</v>
      </c>
      <c r="BL2" s="18" t="s">
        <v>26</v>
      </c>
      <c r="BM2" s="18" t="s">
        <v>24</v>
      </c>
      <c r="BN2" s="18" t="s">
        <v>26</v>
      </c>
      <c r="BO2" s="18" t="s">
        <v>24</v>
      </c>
      <c r="BP2" s="18" t="s">
        <v>26</v>
      </c>
      <c r="BQ2" s="18" t="s">
        <v>24</v>
      </c>
      <c r="BR2" s="18" t="s">
        <v>26</v>
      </c>
      <c r="BS2" s="18" t="s">
        <v>24</v>
      </c>
      <c r="BT2" s="18" t="s">
        <v>26</v>
      </c>
      <c r="BU2" s="18" t="s">
        <v>24</v>
      </c>
      <c r="BV2" s="18" t="s">
        <v>26</v>
      </c>
      <c r="BW2" s="18" t="s">
        <v>24</v>
      </c>
      <c r="BX2" s="18" t="s">
        <v>26</v>
      </c>
      <c r="BY2" s="18" t="s">
        <v>24</v>
      </c>
      <c r="BZ2" s="18" t="s">
        <v>26</v>
      </c>
      <c r="CA2" s="18" t="s">
        <v>24</v>
      </c>
      <c r="CB2" s="18" t="s">
        <v>26</v>
      </c>
      <c r="CC2" s="18" t="s">
        <v>24</v>
      </c>
      <c r="CD2" s="18" t="s">
        <v>26</v>
      </c>
      <c r="CE2" s="18" t="s">
        <v>24</v>
      </c>
      <c r="CF2" s="18" t="s">
        <v>26</v>
      </c>
      <c r="CG2" s="18" t="s">
        <v>24</v>
      </c>
      <c r="CH2" s="18" t="s">
        <v>26</v>
      </c>
    </row>
    <row r="3" spans="1:86" ht="18.75" customHeight="1">
      <c r="A3" s="21" t="s">
        <v>16</v>
      </c>
      <c r="B3" s="22" t="s">
        <v>16</v>
      </c>
      <c r="C3" s="22" t="s">
        <v>16</v>
      </c>
      <c r="D3" s="22"/>
      <c r="E3" s="21" t="s">
        <v>16</v>
      </c>
      <c r="F3" s="21"/>
      <c r="G3" s="21" t="s">
        <v>16</v>
      </c>
      <c r="H3" s="21"/>
      <c r="I3" s="21" t="s">
        <v>16</v>
      </c>
      <c r="J3" s="23">
        <f>SUBTOTAL(9,J4:J721)</f>
        <v>2753114.0650000004</v>
      </c>
      <c r="K3" s="18" t="s">
        <v>16</v>
      </c>
      <c r="L3" s="24">
        <f>SUBTOTAL(9,L4:L721)</f>
        <v>3402</v>
      </c>
      <c r="M3" s="24">
        <f>SUBTOTAL(9,M4:M721)</f>
        <v>3204</v>
      </c>
      <c r="N3" s="24">
        <f t="shared" ref="N3:T3" si="2">SUBTOTAL(9,N4:N713)</f>
        <v>0</v>
      </c>
      <c r="O3" s="24">
        <f t="shared" si="2"/>
        <v>311645.755</v>
      </c>
      <c r="P3" s="24">
        <f t="shared" si="2"/>
        <v>1612199.2900000005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>SUBTOTAL(9,U4:U721)</f>
        <v>3204</v>
      </c>
      <c r="V3" s="24">
        <f>SUBTOTAL(9,V4:V713)</f>
        <v>0</v>
      </c>
      <c r="W3" s="24">
        <f>SUBTOTAL(9,W4:W713)</f>
        <v>0</v>
      </c>
      <c r="X3" s="24">
        <f t="shared" ref="X3:BC3" si="3">SUBTOTAL(9,X4:X721)</f>
        <v>25</v>
      </c>
      <c r="Y3" s="24">
        <f t="shared" si="3"/>
        <v>0</v>
      </c>
      <c r="Z3" s="24">
        <f t="shared" si="3"/>
        <v>11</v>
      </c>
      <c r="AA3" s="24">
        <f t="shared" si="3"/>
        <v>0</v>
      </c>
      <c r="AB3" s="24">
        <f t="shared" si="3"/>
        <v>31</v>
      </c>
      <c r="AC3" s="24">
        <f t="shared" si="3"/>
        <v>0</v>
      </c>
      <c r="AD3" s="24">
        <f t="shared" si="3"/>
        <v>0</v>
      </c>
      <c r="AE3" s="24">
        <f t="shared" si="3"/>
        <v>0</v>
      </c>
      <c r="AF3" s="24">
        <f t="shared" si="3"/>
        <v>0</v>
      </c>
      <c r="AG3" s="24">
        <f t="shared" si="3"/>
        <v>0</v>
      </c>
      <c r="AH3" s="24">
        <f t="shared" si="3"/>
        <v>22</v>
      </c>
      <c r="AI3" s="24">
        <f t="shared" si="3"/>
        <v>0</v>
      </c>
      <c r="AJ3" s="24">
        <f t="shared" si="3"/>
        <v>14</v>
      </c>
      <c r="AK3" s="24">
        <f t="shared" si="3"/>
        <v>0</v>
      </c>
      <c r="AL3" s="24">
        <f t="shared" si="3"/>
        <v>9</v>
      </c>
      <c r="AM3" s="24">
        <f t="shared" si="3"/>
        <v>0</v>
      </c>
      <c r="AN3" s="24">
        <f t="shared" si="3"/>
        <v>0</v>
      </c>
      <c r="AO3" s="24">
        <f t="shared" si="3"/>
        <v>9</v>
      </c>
      <c r="AP3" s="24">
        <f t="shared" si="3"/>
        <v>0</v>
      </c>
      <c r="AQ3" s="24">
        <f t="shared" si="3"/>
        <v>21</v>
      </c>
      <c r="AR3" s="24">
        <f t="shared" si="3"/>
        <v>0</v>
      </c>
      <c r="AS3" s="24">
        <f t="shared" si="3"/>
        <v>0</v>
      </c>
      <c r="AT3" s="24">
        <f t="shared" si="3"/>
        <v>0</v>
      </c>
      <c r="AU3" s="24">
        <f t="shared" si="3"/>
        <v>0</v>
      </c>
      <c r="AV3" s="24">
        <f t="shared" si="3"/>
        <v>0</v>
      </c>
      <c r="AW3" s="24">
        <f t="shared" si="3"/>
        <v>18</v>
      </c>
      <c r="AX3" s="24">
        <f t="shared" si="3"/>
        <v>0</v>
      </c>
      <c r="AY3" s="24">
        <f t="shared" si="3"/>
        <v>10</v>
      </c>
      <c r="AZ3" s="24">
        <f t="shared" si="3"/>
        <v>0</v>
      </c>
      <c r="BA3" s="24">
        <f t="shared" si="3"/>
        <v>8</v>
      </c>
      <c r="BB3" s="24">
        <f t="shared" si="3"/>
        <v>0</v>
      </c>
      <c r="BC3" s="24">
        <f t="shared" si="3"/>
        <v>20</v>
      </c>
      <c r="BD3" s="24">
        <f t="shared" ref="BD3:CI3" si="4">SUBTOTAL(9,BD4:BD721)</f>
        <v>0</v>
      </c>
      <c r="BE3" s="24">
        <f t="shared" si="4"/>
        <v>0</v>
      </c>
      <c r="BF3" s="24">
        <f t="shared" si="4"/>
        <v>0</v>
      </c>
      <c r="BG3" s="24">
        <f t="shared" si="4"/>
        <v>0</v>
      </c>
      <c r="BH3" s="24">
        <f t="shared" si="4"/>
        <v>0</v>
      </c>
      <c r="BI3" s="24">
        <f t="shared" si="4"/>
        <v>0</v>
      </c>
      <c r="BJ3" s="24">
        <f t="shared" si="4"/>
        <v>0</v>
      </c>
      <c r="BK3" s="24">
        <f t="shared" si="4"/>
        <v>0</v>
      </c>
      <c r="BL3" s="24">
        <f t="shared" si="4"/>
        <v>0</v>
      </c>
      <c r="BM3" s="24">
        <f t="shared" si="4"/>
        <v>0</v>
      </c>
      <c r="BN3" s="24">
        <f t="shared" si="4"/>
        <v>0</v>
      </c>
      <c r="BO3" s="24">
        <f t="shared" si="4"/>
        <v>0</v>
      </c>
      <c r="BP3" s="24">
        <f t="shared" si="4"/>
        <v>0</v>
      </c>
      <c r="BQ3" s="24">
        <f t="shared" si="4"/>
        <v>0</v>
      </c>
      <c r="BR3" s="24">
        <f t="shared" si="4"/>
        <v>0</v>
      </c>
      <c r="BS3" s="24">
        <f t="shared" si="4"/>
        <v>0</v>
      </c>
      <c r="BT3" s="24">
        <f t="shared" si="4"/>
        <v>0</v>
      </c>
      <c r="BU3" s="24">
        <f t="shared" si="4"/>
        <v>0</v>
      </c>
      <c r="BV3" s="24">
        <f t="shared" si="4"/>
        <v>0</v>
      </c>
      <c r="BW3" s="24">
        <f t="shared" si="4"/>
        <v>0</v>
      </c>
      <c r="BX3" s="24">
        <f t="shared" si="4"/>
        <v>0</v>
      </c>
      <c r="BY3" s="24">
        <f t="shared" si="4"/>
        <v>0</v>
      </c>
      <c r="BZ3" s="24">
        <f t="shared" si="4"/>
        <v>0</v>
      </c>
      <c r="CA3" s="24">
        <f t="shared" si="4"/>
        <v>0</v>
      </c>
      <c r="CB3" s="24">
        <f t="shared" si="4"/>
        <v>0</v>
      </c>
      <c r="CC3" s="24">
        <f t="shared" si="4"/>
        <v>0</v>
      </c>
      <c r="CD3" s="24">
        <f t="shared" si="4"/>
        <v>0</v>
      </c>
      <c r="CE3" s="24">
        <f t="shared" si="4"/>
        <v>0</v>
      </c>
      <c r="CF3" s="24">
        <f t="shared" si="4"/>
        <v>0</v>
      </c>
      <c r="CG3" s="24">
        <f t="shared" si="4"/>
        <v>0</v>
      </c>
      <c r="CH3" s="24">
        <f t="shared" si="4"/>
        <v>0</v>
      </c>
    </row>
    <row r="4" spans="1:86">
      <c r="A4" s="35">
        <v>45699</v>
      </c>
      <c r="B4" s="1" t="s">
        <v>27</v>
      </c>
      <c r="C4" s="1" t="s">
        <v>28</v>
      </c>
      <c r="D4" s="1"/>
      <c r="E4" s="2" t="s">
        <v>29</v>
      </c>
      <c r="F4" s="2">
        <v>97</v>
      </c>
      <c r="G4" s="2" t="s">
        <v>30</v>
      </c>
      <c r="H4" s="2">
        <v>114</v>
      </c>
      <c r="I4" s="2">
        <v>951</v>
      </c>
      <c r="J4" s="12">
        <f t="shared" ref="J4:J24" si="5">IFERROR(IF(AND(V4=3,U4&gt;0),I4,I4*U4),"Verify")</f>
        <v>7608</v>
      </c>
      <c r="K4" s="5">
        <f t="shared" ref="K4:K24" si="6">+J4/(F4*H4*10^-5)</f>
        <v>68800.868149755828</v>
      </c>
      <c r="L4" s="2">
        <v>8</v>
      </c>
      <c r="M4" s="37">
        <f t="shared" ref="M4:M24" si="7">+L4-X4-Z4-AD4-AB4-AF4-AH4-AJ4-AL4-AO4-AQ4-AS4-AU4-AW4-AY4-BA4-BC4-BE4-BG4-BI4-BK4-BM4-BO4-BQ4-BS4-BU4-BW4-BY4-CA4-CC4-CE4-CG4</f>
        <v>8</v>
      </c>
      <c r="N4" s="2" t="s">
        <v>16</v>
      </c>
      <c r="O4" s="32"/>
      <c r="P4" s="32">
        <f t="shared" ref="P4" si="8">+J4-O4</f>
        <v>7608</v>
      </c>
      <c r="Q4" s="2" t="s">
        <v>16</v>
      </c>
      <c r="R4" s="2" t="s">
        <v>16</v>
      </c>
      <c r="S4" s="2" t="s">
        <v>16</v>
      </c>
      <c r="T4" s="2" t="s">
        <v>16</v>
      </c>
      <c r="U4" s="37">
        <f t="shared" ref="U4" si="9">+L4-X4-Z4-AD4-AB4-AF4-AH4-AJ4-AL4-AO4-AQ4-AS4-AU4-AW4-AY4-BA4-BC4-BE4-BG4-BI4-BK4-BM4-BO4-BQ4-BS4-BU4-BW4-BY4-CA4-CC4-CE4-CG4</f>
        <v>8</v>
      </c>
      <c r="V4" s="34"/>
      <c r="W4" s="2" t="s">
        <v>16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>
      <c r="A5" s="35">
        <v>45699</v>
      </c>
      <c r="B5" s="1" t="s">
        <v>31</v>
      </c>
      <c r="C5" s="1" t="s">
        <v>32</v>
      </c>
      <c r="D5" s="1"/>
      <c r="E5" s="2" t="s">
        <v>29</v>
      </c>
      <c r="F5" s="2">
        <v>97</v>
      </c>
      <c r="G5" s="2" t="s">
        <v>30</v>
      </c>
      <c r="H5" s="2">
        <v>123</v>
      </c>
      <c r="I5" s="2">
        <v>1026</v>
      </c>
      <c r="J5" s="12">
        <f t="shared" si="5"/>
        <v>1026</v>
      </c>
      <c r="K5" s="5">
        <f t="shared" si="6"/>
        <v>8599.4468192104596</v>
      </c>
      <c r="L5" s="2">
        <v>1</v>
      </c>
      <c r="M5" s="37">
        <f t="shared" si="7"/>
        <v>1</v>
      </c>
      <c r="N5" s="2" t="s">
        <v>16</v>
      </c>
      <c r="O5" s="32"/>
      <c r="P5" s="32">
        <f t="shared" ref="P5:P42" si="10">+J5-O5</f>
        <v>1026</v>
      </c>
      <c r="Q5" s="2" t="s">
        <v>16</v>
      </c>
      <c r="R5" s="2" t="s">
        <v>16</v>
      </c>
      <c r="S5" s="2" t="s">
        <v>16</v>
      </c>
      <c r="T5" s="2" t="s">
        <v>16</v>
      </c>
      <c r="U5" s="37">
        <f t="shared" ref="U5:U45" si="11">+L5-X5-Z5-AD5-AB5-AF5-AH5-AJ5-AL5-AO5-AQ5-AS5-AU5-AW5-AY5-BA5-BC5-BE5-BG5-BI5-BK5-BM5-BO5-BQ5-BS5-BU5-BW5-BY5-CA5-CC5-CE5-CG5</f>
        <v>1</v>
      </c>
      <c r="V5" s="34"/>
      <c r="W5" s="2" t="s">
        <v>16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>
      <c r="A6" s="35">
        <v>45699</v>
      </c>
      <c r="B6" s="1" t="s">
        <v>33</v>
      </c>
      <c r="C6" s="1" t="s">
        <v>34</v>
      </c>
      <c r="D6" s="1"/>
      <c r="E6" s="2" t="s">
        <v>29</v>
      </c>
      <c r="F6" s="2">
        <v>97</v>
      </c>
      <c r="G6" s="2" t="s">
        <v>30</v>
      </c>
      <c r="H6" s="2">
        <v>72</v>
      </c>
      <c r="I6" s="2">
        <v>601</v>
      </c>
      <c r="J6" s="12">
        <f t="shared" si="5"/>
        <v>1202</v>
      </c>
      <c r="K6" s="5">
        <f t="shared" si="6"/>
        <v>17210.767468499427</v>
      </c>
      <c r="L6" s="2">
        <v>2</v>
      </c>
      <c r="M6" s="37">
        <f t="shared" si="7"/>
        <v>2</v>
      </c>
      <c r="N6" s="2" t="s">
        <v>16</v>
      </c>
      <c r="O6" s="32"/>
      <c r="P6" s="32">
        <f t="shared" si="10"/>
        <v>1202</v>
      </c>
      <c r="Q6" s="2" t="s">
        <v>16</v>
      </c>
      <c r="R6" s="2" t="s">
        <v>16</v>
      </c>
      <c r="S6" s="2" t="s">
        <v>16</v>
      </c>
      <c r="T6" s="2" t="s">
        <v>16</v>
      </c>
      <c r="U6" s="37">
        <f t="shared" si="11"/>
        <v>2</v>
      </c>
      <c r="V6" s="34"/>
      <c r="W6" s="2" t="s">
        <v>16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>
      <c r="A7" s="35">
        <v>45699</v>
      </c>
      <c r="B7" s="1" t="s">
        <v>35</v>
      </c>
      <c r="C7" s="1" t="s">
        <v>36</v>
      </c>
      <c r="D7" s="1"/>
      <c r="E7" s="2" t="s">
        <v>37</v>
      </c>
      <c r="F7" s="2">
        <v>450</v>
      </c>
      <c r="G7" s="2" t="s">
        <v>38</v>
      </c>
      <c r="H7" s="2">
        <v>50</v>
      </c>
      <c r="I7" s="2">
        <v>450</v>
      </c>
      <c r="J7" s="12">
        <f t="shared" si="5"/>
        <v>5400</v>
      </c>
      <c r="K7" s="5">
        <f t="shared" si="6"/>
        <v>24000</v>
      </c>
      <c r="L7" s="2">
        <v>12</v>
      </c>
      <c r="M7" s="37">
        <f t="shared" si="7"/>
        <v>12</v>
      </c>
      <c r="N7" s="2"/>
      <c r="O7" s="32"/>
      <c r="P7" s="32">
        <f t="shared" si="10"/>
        <v>5400</v>
      </c>
      <c r="Q7" s="2" t="s">
        <v>16</v>
      </c>
      <c r="R7" s="2" t="s">
        <v>16</v>
      </c>
      <c r="S7" s="2" t="s">
        <v>16</v>
      </c>
      <c r="T7" s="2" t="s">
        <v>16</v>
      </c>
      <c r="U7" s="37">
        <f t="shared" si="11"/>
        <v>12</v>
      </c>
      <c r="V7" s="34"/>
      <c r="W7" s="2" t="s">
        <v>16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>
      <c r="A8" s="35">
        <v>45699</v>
      </c>
      <c r="B8" s="1" t="s">
        <v>39</v>
      </c>
      <c r="C8" s="1" t="s">
        <v>40</v>
      </c>
      <c r="D8" s="1"/>
      <c r="E8" s="2" t="s">
        <v>41</v>
      </c>
      <c r="F8" s="2">
        <v>80</v>
      </c>
      <c r="G8" s="2" t="s">
        <v>42</v>
      </c>
      <c r="H8" s="2">
        <v>67</v>
      </c>
      <c r="I8" s="2">
        <v>482</v>
      </c>
      <c r="J8" s="12">
        <f>IFERROR(IF(AND(V8=3,U8&gt;0),I8,I8*U8),"Verify")</f>
        <v>2892</v>
      </c>
      <c r="K8" s="5">
        <f t="shared" si="6"/>
        <v>53955.223880597012</v>
      </c>
      <c r="L8" s="2">
        <v>6</v>
      </c>
      <c r="M8" s="37">
        <f t="shared" si="7"/>
        <v>6</v>
      </c>
      <c r="N8" s="2" t="s">
        <v>43</v>
      </c>
      <c r="O8" s="32">
        <f>J8</f>
        <v>2892</v>
      </c>
      <c r="P8" s="32">
        <f t="shared" si="10"/>
        <v>0</v>
      </c>
      <c r="Q8" s="2" t="s">
        <v>16</v>
      </c>
      <c r="R8" s="2" t="s">
        <v>16</v>
      </c>
      <c r="S8" s="2" t="s">
        <v>16</v>
      </c>
      <c r="T8" s="2" t="s">
        <v>44</v>
      </c>
      <c r="U8" s="37">
        <f t="shared" si="11"/>
        <v>6</v>
      </c>
      <c r="V8" s="34"/>
      <c r="W8" s="2" t="s">
        <v>16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>
      <c r="A9" s="35">
        <v>45699</v>
      </c>
      <c r="B9" s="1" t="s">
        <v>45</v>
      </c>
      <c r="C9" s="1" t="s">
        <v>46</v>
      </c>
      <c r="D9" s="1"/>
      <c r="E9" s="2" t="s">
        <v>29</v>
      </c>
      <c r="F9" s="2">
        <v>38</v>
      </c>
      <c r="G9" s="2" t="s">
        <v>47</v>
      </c>
      <c r="H9" s="2">
        <v>212</v>
      </c>
      <c r="I9" s="2">
        <v>1368</v>
      </c>
      <c r="J9" s="12">
        <f t="shared" si="5"/>
        <v>5472</v>
      </c>
      <c r="K9" s="5">
        <f t="shared" si="6"/>
        <v>67924.528301886792</v>
      </c>
      <c r="L9" s="2">
        <v>4</v>
      </c>
      <c r="M9" s="37">
        <f t="shared" si="7"/>
        <v>4</v>
      </c>
      <c r="N9" s="2" t="s">
        <v>16</v>
      </c>
      <c r="O9" s="32"/>
      <c r="P9" s="32">
        <f t="shared" si="10"/>
        <v>5472</v>
      </c>
      <c r="Q9" s="2" t="s">
        <v>16</v>
      </c>
      <c r="R9" s="2" t="s">
        <v>16</v>
      </c>
      <c r="S9" s="2" t="s">
        <v>16</v>
      </c>
      <c r="T9" s="2" t="s">
        <v>16</v>
      </c>
      <c r="U9" s="37">
        <f t="shared" si="11"/>
        <v>4</v>
      </c>
      <c r="V9" s="34"/>
      <c r="W9" s="2" t="s">
        <v>16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>
      <c r="A10" s="35">
        <v>45699</v>
      </c>
      <c r="B10" s="1" t="s">
        <v>48</v>
      </c>
      <c r="C10" s="1" t="s">
        <v>49</v>
      </c>
      <c r="D10" s="1"/>
      <c r="E10" s="2" t="s">
        <v>50</v>
      </c>
      <c r="F10" s="2">
        <v>100</v>
      </c>
      <c r="G10" s="2" t="s">
        <v>51</v>
      </c>
      <c r="H10" s="2">
        <v>87</v>
      </c>
      <c r="I10" s="2">
        <v>900</v>
      </c>
      <c r="J10" s="12">
        <f t="shared" si="5"/>
        <v>1800</v>
      </c>
      <c r="K10" s="5">
        <f t="shared" si="6"/>
        <v>20689.65517241379</v>
      </c>
      <c r="L10" s="2">
        <v>2</v>
      </c>
      <c r="M10" s="37">
        <f t="shared" si="7"/>
        <v>2</v>
      </c>
      <c r="N10" s="2" t="s">
        <v>16</v>
      </c>
      <c r="O10" s="32"/>
      <c r="P10" s="32">
        <f t="shared" si="10"/>
        <v>1800</v>
      </c>
      <c r="Q10" s="2" t="s">
        <v>16</v>
      </c>
      <c r="R10" s="2" t="s">
        <v>16</v>
      </c>
      <c r="S10" s="2" t="s">
        <v>16</v>
      </c>
      <c r="T10" s="2" t="s">
        <v>16</v>
      </c>
      <c r="U10" s="37">
        <f t="shared" si="11"/>
        <v>2</v>
      </c>
      <c r="V10" s="34"/>
      <c r="W10" s="2" t="s">
        <v>16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ht="28.8">
      <c r="A11" s="35">
        <v>45699</v>
      </c>
      <c r="B11" s="1" t="s">
        <v>52</v>
      </c>
      <c r="C11" s="1" t="s">
        <v>52</v>
      </c>
      <c r="D11" s="1"/>
      <c r="E11" s="2" t="s">
        <v>29</v>
      </c>
      <c r="F11" s="2">
        <v>130</v>
      </c>
      <c r="G11" s="2" t="s">
        <v>53</v>
      </c>
      <c r="H11" s="2">
        <v>94</v>
      </c>
      <c r="I11" s="2">
        <v>740</v>
      </c>
      <c r="J11" s="12">
        <f t="shared" si="5"/>
        <v>8140</v>
      </c>
      <c r="K11" s="5">
        <f t="shared" si="6"/>
        <v>66612.111292962349</v>
      </c>
      <c r="L11" s="2">
        <v>39</v>
      </c>
      <c r="M11" s="37">
        <f t="shared" si="7"/>
        <v>11</v>
      </c>
      <c r="N11" s="2" t="s">
        <v>16</v>
      </c>
      <c r="O11" s="32"/>
      <c r="P11" s="32">
        <f t="shared" si="10"/>
        <v>8140</v>
      </c>
      <c r="Q11" s="2" t="s">
        <v>16</v>
      </c>
      <c r="R11" s="2" t="s">
        <v>16</v>
      </c>
      <c r="S11" s="2" t="s">
        <v>16</v>
      </c>
      <c r="T11" s="2" t="s">
        <v>16</v>
      </c>
      <c r="U11" s="37">
        <f t="shared" si="11"/>
        <v>11</v>
      </c>
      <c r="V11" s="34"/>
      <c r="W11" s="2" t="s">
        <v>16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9</v>
      </c>
      <c r="AZ11" s="2"/>
      <c r="BA11" s="2">
        <v>7</v>
      </c>
      <c r="BB11" s="2"/>
      <c r="BC11" s="2">
        <v>12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>
      <c r="A12" s="35">
        <v>45699</v>
      </c>
      <c r="B12" s="1" t="s">
        <v>54</v>
      </c>
      <c r="C12" s="1" t="s">
        <v>54</v>
      </c>
      <c r="D12" s="1"/>
      <c r="E12" s="2" t="s">
        <v>37</v>
      </c>
      <c r="F12" s="2">
        <v>300</v>
      </c>
      <c r="G12" s="2" t="s">
        <v>55</v>
      </c>
      <c r="H12" s="2">
        <v>100</v>
      </c>
      <c r="I12" s="2">
        <v>804</v>
      </c>
      <c r="J12" s="12">
        <f t="shared" si="5"/>
        <v>804</v>
      </c>
      <c r="K12" s="5">
        <f t="shared" si="6"/>
        <v>2679.9999999999995</v>
      </c>
      <c r="L12" s="2">
        <v>1</v>
      </c>
      <c r="M12" s="37">
        <f t="shared" si="7"/>
        <v>1</v>
      </c>
      <c r="N12" s="2" t="s">
        <v>56</v>
      </c>
      <c r="O12" s="32">
        <f>J12</f>
        <v>804</v>
      </c>
      <c r="P12" s="32">
        <f t="shared" si="10"/>
        <v>0</v>
      </c>
      <c r="Q12" s="2" t="s">
        <v>16</v>
      </c>
      <c r="R12" s="2" t="s">
        <v>16</v>
      </c>
      <c r="S12" s="2" t="s">
        <v>16</v>
      </c>
      <c r="T12" s="2" t="s">
        <v>16</v>
      </c>
      <c r="U12" s="37">
        <f t="shared" si="11"/>
        <v>1</v>
      </c>
      <c r="V12" s="34"/>
      <c r="W12" s="2" t="s">
        <v>16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spans="1:86">
      <c r="A13" s="35">
        <v>45699</v>
      </c>
      <c r="B13" s="1" t="s">
        <v>57</v>
      </c>
      <c r="C13" s="1" t="s">
        <v>57</v>
      </c>
      <c r="D13" s="1"/>
      <c r="E13" s="2" t="s">
        <v>37</v>
      </c>
      <c r="F13" s="2">
        <v>350</v>
      </c>
      <c r="G13" s="2" t="s">
        <v>58</v>
      </c>
      <c r="H13" s="2">
        <v>67</v>
      </c>
      <c r="I13" s="2">
        <v>597.20000000000005</v>
      </c>
      <c r="J13" s="12">
        <f t="shared" si="5"/>
        <v>17318.800000000003</v>
      </c>
      <c r="K13" s="5">
        <f t="shared" si="6"/>
        <v>73854.157782516006</v>
      </c>
      <c r="L13" s="2">
        <v>35</v>
      </c>
      <c r="M13" s="37">
        <f t="shared" si="7"/>
        <v>29</v>
      </c>
      <c r="N13" s="2" t="s">
        <v>59</v>
      </c>
      <c r="O13" s="32">
        <f>J13</f>
        <v>17318.800000000003</v>
      </c>
      <c r="P13" s="32">
        <f t="shared" si="10"/>
        <v>0</v>
      </c>
      <c r="Q13" s="2" t="s">
        <v>16</v>
      </c>
      <c r="R13" s="2" t="s">
        <v>16</v>
      </c>
      <c r="S13" s="2" t="s">
        <v>16</v>
      </c>
      <c r="T13" s="2" t="s">
        <v>16</v>
      </c>
      <c r="U13" s="37">
        <f t="shared" si="11"/>
        <v>29</v>
      </c>
      <c r="V13" s="34"/>
      <c r="W13" s="2" t="s">
        <v>16</v>
      </c>
      <c r="X13" s="2"/>
      <c r="Y13" s="2"/>
      <c r="Z13" s="2"/>
      <c r="AA13" s="2"/>
      <c r="AB13" s="2">
        <v>5</v>
      </c>
      <c r="AC13" s="2"/>
      <c r="AD13" s="2"/>
      <c r="AE13" s="2"/>
      <c r="AF13" s="2"/>
      <c r="AG13" s="2"/>
      <c r="AH13" s="2">
        <v>1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>
      <c r="A14" s="35">
        <v>45699</v>
      </c>
      <c r="B14" s="1" t="s">
        <v>60</v>
      </c>
      <c r="C14" s="1" t="s">
        <v>60</v>
      </c>
      <c r="D14" s="1"/>
      <c r="E14" s="2" t="s">
        <v>37</v>
      </c>
      <c r="F14" s="2">
        <v>400</v>
      </c>
      <c r="G14" s="2" t="s">
        <v>61</v>
      </c>
      <c r="H14" s="2">
        <v>236</v>
      </c>
      <c r="I14" s="2">
        <v>2142</v>
      </c>
      <c r="J14" s="12">
        <f t="shared" si="5"/>
        <v>21420</v>
      </c>
      <c r="K14" s="5">
        <f t="shared" si="6"/>
        <v>22690.677966101692</v>
      </c>
      <c r="L14" s="2">
        <v>10</v>
      </c>
      <c r="M14" s="37">
        <f t="shared" si="7"/>
        <v>10</v>
      </c>
      <c r="N14" s="2"/>
      <c r="O14" s="32"/>
      <c r="P14" s="32">
        <f t="shared" si="10"/>
        <v>21420</v>
      </c>
      <c r="Q14" s="2" t="s">
        <v>16</v>
      </c>
      <c r="R14" s="2" t="s">
        <v>16</v>
      </c>
      <c r="S14" s="2" t="s">
        <v>16</v>
      </c>
      <c r="T14" s="2" t="s">
        <v>16</v>
      </c>
      <c r="U14" s="37">
        <f t="shared" si="11"/>
        <v>10</v>
      </c>
      <c r="V14" s="34"/>
      <c r="W14" s="2" t="s">
        <v>16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>
      <c r="A15" s="35">
        <v>45699</v>
      </c>
      <c r="B15" s="1" t="s">
        <v>62</v>
      </c>
      <c r="C15" s="1" t="s">
        <v>62</v>
      </c>
      <c r="D15" s="1"/>
      <c r="E15" s="2" t="s">
        <v>37</v>
      </c>
      <c r="F15" s="2">
        <v>400</v>
      </c>
      <c r="G15" s="2" t="s">
        <v>61</v>
      </c>
      <c r="H15" s="2">
        <v>67</v>
      </c>
      <c r="I15" s="2">
        <v>598.5</v>
      </c>
      <c r="J15" s="12">
        <f t="shared" si="5"/>
        <v>2992.5</v>
      </c>
      <c r="K15" s="5">
        <f t="shared" si="6"/>
        <v>11166.044776119403</v>
      </c>
      <c r="L15" s="2">
        <v>6</v>
      </c>
      <c r="M15" s="37">
        <f t="shared" si="7"/>
        <v>5</v>
      </c>
      <c r="N15" s="2" t="s">
        <v>59</v>
      </c>
      <c r="O15" s="32">
        <f>J15</f>
        <v>2992.5</v>
      </c>
      <c r="P15" s="32">
        <f t="shared" si="10"/>
        <v>0</v>
      </c>
      <c r="Q15" s="2" t="s">
        <v>16</v>
      </c>
      <c r="R15" s="2" t="s">
        <v>16</v>
      </c>
      <c r="S15" s="2" t="s">
        <v>16</v>
      </c>
      <c r="T15" s="2" t="s">
        <v>16</v>
      </c>
      <c r="U15" s="37">
        <f t="shared" si="11"/>
        <v>5</v>
      </c>
      <c r="V15" s="34"/>
      <c r="W15" s="2" t="s">
        <v>16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>
        <v>1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>
      <c r="A16" s="35">
        <v>45699</v>
      </c>
      <c r="B16" s="1" t="s">
        <v>63</v>
      </c>
      <c r="C16" s="1" t="s">
        <v>63</v>
      </c>
      <c r="D16" s="1"/>
      <c r="E16" s="2" t="s">
        <v>37</v>
      </c>
      <c r="F16" s="2">
        <v>350</v>
      </c>
      <c r="G16" s="2" t="s">
        <v>64</v>
      </c>
      <c r="H16" s="2">
        <v>168</v>
      </c>
      <c r="I16" s="2">
        <v>1482</v>
      </c>
      <c r="J16" s="12">
        <f t="shared" si="5"/>
        <v>14820</v>
      </c>
      <c r="K16" s="5">
        <f t="shared" si="6"/>
        <v>25204.081632653058</v>
      </c>
      <c r="L16" s="2">
        <v>10</v>
      </c>
      <c r="M16" s="37">
        <f t="shared" si="7"/>
        <v>10</v>
      </c>
      <c r="N16" s="2" t="s">
        <v>65</v>
      </c>
      <c r="O16" s="32">
        <f>J16</f>
        <v>14820</v>
      </c>
      <c r="P16" s="32">
        <f t="shared" si="10"/>
        <v>0</v>
      </c>
      <c r="Q16" s="2" t="s">
        <v>16</v>
      </c>
      <c r="R16" s="2" t="s">
        <v>16</v>
      </c>
      <c r="S16" s="2" t="s">
        <v>16</v>
      </c>
      <c r="T16" s="2" t="s">
        <v>66</v>
      </c>
      <c r="U16" s="37">
        <f t="shared" si="11"/>
        <v>10</v>
      </c>
      <c r="V16" s="34"/>
      <c r="W16" s="2" t="s">
        <v>16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 spans="1:86">
      <c r="A17" s="35">
        <v>45699</v>
      </c>
      <c r="B17" s="1" t="s">
        <v>67</v>
      </c>
      <c r="C17" s="1" t="s">
        <v>67</v>
      </c>
      <c r="D17" s="1"/>
      <c r="E17" s="2" t="s">
        <v>37</v>
      </c>
      <c r="F17" s="2">
        <v>230</v>
      </c>
      <c r="G17" s="2" t="s">
        <v>68</v>
      </c>
      <c r="H17" s="2">
        <v>79</v>
      </c>
      <c r="I17" s="2">
        <v>55</v>
      </c>
      <c r="J17" s="12">
        <f t="shared" si="5"/>
        <v>55</v>
      </c>
      <c r="K17" s="5">
        <f t="shared" si="6"/>
        <v>302.69675288937805</v>
      </c>
      <c r="L17" s="2">
        <v>1</v>
      </c>
      <c r="M17" s="37">
        <f t="shared" si="7"/>
        <v>1</v>
      </c>
      <c r="N17" s="2" t="s">
        <v>16</v>
      </c>
      <c r="O17" s="32"/>
      <c r="P17" s="32">
        <f t="shared" si="10"/>
        <v>55</v>
      </c>
      <c r="Q17" s="2" t="s">
        <v>16</v>
      </c>
      <c r="R17" s="2" t="s">
        <v>16</v>
      </c>
      <c r="S17" s="2" t="s">
        <v>16</v>
      </c>
      <c r="T17" s="2" t="s">
        <v>16</v>
      </c>
      <c r="U17" s="37">
        <f t="shared" si="11"/>
        <v>1</v>
      </c>
      <c r="V17" s="34"/>
      <c r="W17" s="2" t="s">
        <v>16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 spans="1:86">
      <c r="A18" s="35">
        <v>45699</v>
      </c>
      <c r="B18" s="1" t="s">
        <v>69</v>
      </c>
      <c r="C18" s="1" t="s">
        <v>69</v>
      </c>
      <c r="D18" s="1"/>
      <c r="E18" s="2" t="s">
        <v>37</v>
      </c>
      <c r="F18" s="2">
        <v>270</v>
      </c>
      <c r="G18" s="2" t="s">
        <v>68</v>
      </c>
      <c r="H18" s="2">
        <v>59</v>
      </c>
      <c r="I18" s="2">
        <v>363</v>
      </c>
      <c r="J18" s="12">
        <f t="shared" si="5"/>
        <v>363</v>
      </c>
      <c r="K18" s="5">
        <f t="shared" si="6"/>
        <v>2278.7193973634649</v>
      </c>
      <c r="L18" s="2">
        <v>1</v>
      </c>
      <c r="M18" s="37">
        <f t="shared" si="7"/>
        <v>1</v>
      </c>
      <c r="N18" s="2"/>
      <c r="O18" s="32"/>
      <c r="P18" s="32">
        <f t="shared" si="10"/>
        <v>363</v>
      </c>
      <c r="Q18" s="2" t="s">
        <v>16</v>
      </c>
      <c r="R18" s="2" t="s">
        <v>16</v>
      </c>
      <c r="S18" s="2" t="s">
        <v>16</v>
      </c>
      <c r="T18" s="2" t="s">
        <v>70</v>
      </c>
      <c r="U18" s="37">
        <f t="shared" si="11"/>
        <v>1</v>
      </c>
      <c r="V18" s="34"/>
      <c r="W18" s="2" t="s">
        <v>16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>
      <c r="A19" s="35">
        <v>45699</v>
      </c>
      <c r="B19" s="1" t="s">
        <v>71</v>
      </c>
      <c r="C19" s="1" t="s">
        <v>71</v>
      </c>
      <c r="D19" s="1"/>
      <c r="E19" s="2" t="s">
        <v>37</v>
      </c>
      <c r="F19" s="2">
        <v>270</v>
      </c>
      <c r="G19" s="2" t="s">
        <v>68</v>
      </c>
      <c r="H19" s="2">
        <v>59.4</v>
      </c>
      <c r="I19" s="2">
        <v>90</v>
      </c>
      <c r="J19" s="12">
        <f t="shared" si="5"/>
        <v>90</v>
      </c>
      <c r="K19" s="5">
        <f t="shared" si="6"/>
        <v>561.16722783389446</v>
      </c>
      <c r="L19" s="2">
        <v>1</v>
      </c>
      <c r="M19" s="37">
        <f t="shared" si="7"/>
        <v>1</v>
      </c>
      <c r="N19" s="2" t="s">
        <v>16</v>
      </c>
      <c r="O19" s="32"/>
      <c r="P19" s="32">
        <f t="shared" si="10"/>
        <v>90</v>
      </c>
      <c r="Q19" s="2" t="s">
        <v>16</v>
      </c>
      <c r="R19" s="2" t="s">
        <v>16</v>
      </c>
      <c r="S19" s="2" t="s">
        <v>16</v>
      </c>
      <c r="T19" s="2" t="s">
        <v>72</v>
      </c>
      <c r="U19" s="37">
        <f t="shared" si="11"/>
        <v>1</v>
      </c>
      <c r="V19" s="34"/>
      <c r="W19" s="2" t="s">
        <v>16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>
      <c r="A20" s="35">
        <v>45699</v>
      </c>
      <c r="B20" s="1" t="s">
        <v>73</v>
      </c>
      <c r="C20" s="1" t="s">
        <v>73</v>
      </c>
      <c r="D20" s="1"/>
      <c r="E20" s="2" t="s">
        <v>37</v>
      </c>
      <c r="F20" s="2">
        <v>270</v>
      </c>
      <c r="G20" s="2" t="s">
        <v>68</v>
      </c>
      <c r="H20" s="2">
        <v>61.3</v>
      </c>
      <c r="I20" s="2">
        <v>468</v>
      </c>
      <c r="J20" s="12">
        <f t="shared" si="5"/>
        <v>468</v>
      </c>
      <c r="K20" s="5">
        <f t="shared" si="6"/>
        <v>2827.6237085372481</v>
      </c>
      <c r="L20" s="2">
        <v>1</v>
      </c>
      <c r="M20" s="37">
        <f t="shared" si="7"/>
        <v>1</v>
      </c>
      <c r="N20" s="2" t="s">
        <v>16</v>
      </c>
      <c r="O20" s="32"/>
      <c r="P20" s="32">
        <f t="shared" si="10"/>
        <v>468</v>
      </c>
      <c r="Q20" s="2" t="s">
        <v>16</v>
      </c>
      <c r="R20" s="2" t="s">
        <v>16</v>
      </c>
      <c r="S20" s="2" t="s">
        <v>16</v>
      </c>
      <c r="T20" s="2" t="s">
        <v>16</v>
      </c>
      <c r="U20" s="37">
        <f t="shared" si="11"/>
        <v>1</v>
      </c>
      <c r="V20" s="34"/>
      <c r="W20" s="2" t="s">
        <v>16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86">
      <c r="A21" s="35">
        <v>45699</v>
      </c>
      <c r="B21" s="1" t="s">
        <v>74</v>
      </c>
      <c r="C21" s="1" t="s">
        <v>74</v>
      </c>
      <c r="D21" s="1"/>
      <c r="E21" s="2" t="s">
        <v>37</v>
      </c>
      <c r="F21" s="2">
        <v>180</v>
      </c>
      <c r="G21" s="2" t="s">
        <v>55</v>
      </c>
      <c r="H21" s="2">
        <v>105</v>
      </c>
      <c r="I21" s="2">
        <v>1548</v>
      </c>
      <c r="J21" s="12">
        <f t="shared" si="5"/>
        <v>3096</v>
      </c>
      <c r="K21" s="5">
        <f t="shared" si="6"/>
        <v>16380.952380952378</v>
      </c>
      <c r="L21" s="2">
        <v>2</v>
      </c>
      <c r="M21" s="37">
        <f t="shared" si="7"/>
        <v>2</v>
      </c>
      <c r="N21" s="2" t="s">
        <v>16</v>
      </c>
      <c r="O21" s="32"/>
      <c r="P21" s="32">
        <f t="shared" si="10"/>
        <v>3096</v>
      </c>
      <c r="Q21" s="2" t="s">
        <v>16</v>
      </c>
      <c r="R21" s="2" t="s">
        <v>16</v>
      </c>
      <c r="S21" s="2" t="s">
        <v>16</v>
      </c>
      <c r="T21" s="2" t="s">
        <v>75</v>
      </c>
      <c r="U21" s="37">
        <f t="shared" si="11"/>
        <v>2</v>
      </c>
      <c r="V21" s="34"/>
      <c r="W21" s="2" t="s">
        <v>16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 spans="1:86">
      <c r="A22" s="35">
        <v>45699</v>
      </c>
      <c r="B22" s="1" t="s">
        <v>76</v>
      </c>
      <c r="C22" s="1" t="s">
        <v>76</v>
      </c>
      <c r="D22" s="1"/>
      <c r="E22" s="2" t="s">
        <v>37</v>
      </c>
      <c r="F22" s="2">
        <v>400</v>
      </c>
      <c r="G22" s="2" t="s">
        <v>55</v>
      </c>
      <c r="H22" s="2">
        <v>99.1</v>
      </c>
      <c r="I22" s="2">
        <v>690</v>
      </c>
      <c r="J22" s="12">
        <f t="shared" si="5"/>
        <v>690</v>
      </c>
      <c r="K22" s="5">
        <f t="shared" si="6"/>
        <v>1740.6659939455094</v>
      </c>
      <c r="L22" s="2">
        <v>1</v>
      </c>
      <c r="M22" s="37">
        <f t="shared" si="7"/>
        <v>1</v>
      </c>
      <c r="N22" s="2"/>
      <c r="O22" s="32"/>
      <c r="P22" s="32">
        <f t="shared" si="10"/>
        <v>690</v>
      </c>
      <c r="Q22" s="2" t="s">
        <v>16</v>
      </c>
      <c r="R22" s="2" t="s">
        <v>16</v>
      </c>
      <c r="S22" s="2" t="s">
        <v>16</v>
      </c>
      <c r="T22" s="2" t="s">
        <v>16</v>
      </c>
      <c r="U22" s="37">
        <f t="shared" si="11"/>
        <v>1</v>
      </c>
      <c r="V22" s="34"/>
      <c r="W22" s="2" t="s">
        <v>16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86">
      <c r="A23" s="35">
        <v>45699</v>
      </c>
      <c r="B23" s="1" t="s">
        <v>77</v>
      </c>
      <c r="C23" s="1" t="s">
        <v>77</v>
      </c>
      <c r="D23" s="1"/>
      <c r="E23" s="2" t="s">
        <v>37</v>
      </c>
      <c r="F23" s="2">
        <v>400</v>
      </c>
      <c r="G23" s="2" t="s">
        <v>55</v>
      </c>
      <c r="H23" s="2">
        <v>98.5</v>
      </c>
      <c r="I23" s="2">
        <v>772</v>
      </c>
      <c r="J23" s="12">
        <f t="shared" si="5"/>
        <v>2316</v>
      </c>
      <c r="K23" s="5">
        <f t="shared" si="6"/>
        <v>5878.1725888324872</v>
      </c>
      <c r="L23" s="2">
        <v>3</v>
      </c>
      <c r="M23" s="37">
        <f t="shared" si="7"/>
        <v>3</v>
      </c>
      <c r="N23" s="2" t="s">
        <v>16</v>
      </c>
      <c r="O23" s="32"/>
      <c r="P23" s="32">
        <f t="shared" si="10"/>
        <v>2316</v>
      </c>
      <c r="Q23" s="2" t="s">
        <v>16</v>
      </c>
      <c r="R23" s="2" t="s">
        <v>16</v>
      </c>
      <c r="S23" s="2" t="s">
        <v>16</v>
      </c>
      <c r="T23" s="2" t="s">
        <v>16</v>
      </c>
      <c r="U23" s="37">
        <f t="shared" si="11"/>
        <v>3</v>
      </c>
      <c r="V23" s="34"/>
      <c r="W23" s="2" t="s">
        <v>16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 spans="1:86">
      <c r="A24" s="35">
        <v>45699</v>
      </c>
      <c r="B24" s="1" t="s">
        <v>78</v>
      </c>
      <c r="C24" s="1" t="s">
        <v>78</v>
      </c>
      <c r="D24" s="1"/>
      <c r="E24" s="2" t="s">
        <v>37</v>
      </c>
      <c r="F24" s="2">
        <v>400</v>
      </c>
      <c r="G24" s="2" t="s">
        <v>38</v>
      </c>
      <c r="H24" s="2">
        <v>136</v>
      </c>
      <c r="I24" s="2">
        <v>1306</v>
      </c>
      <c r="J24" s="12">
        <f t="shared" si="5"/>
        <v>6530</v>
      </c>
      <c r="K24" s="5">
        <f t="shared" si="6"/>
        <v>12003.676470588234</v>
      </c>
      <c r="L24" s="2">
        <v>5</v>
      </c>
      <c r="M24" s="37">
        <f t="shared" si="7"/>
        <v>5</v>
      </c>
      <c r="N24" s="2" t="s">
        <v>79</v>
      </c>
      <c r="O24" s="32">
        <f>J24</f>
        <v>6530</v>
      </c>
      <c r="P24" s="32">
        <f t="shared" si="10"/>
        <v>0</v>
      </c>
      <c r="Q24" s="2" t="s">
        <v>16</v>
      </c>
      <c r="R24" s="2" t="s">
        <v>16</v>
      </c>
      <c r="S24" s="2" t="s">
        <v>16</v>
      </c>
      <c r="T24" s="2" t="s">
        <v>16</v>
      </c>
      <c r="U24" s="37">
        <f t="shared" si="11"/>
        <v>5</v>
      </c>
      <c r="V24" s="34"/>
      <c r="W24" s="2" t="s">
        <v>16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>
      <c r="A25" s="35">
        <v>45699</v>
      </c>
      <c r="B25" s="1" t="s">
        <v>80</v>
      </c>
      <c r="C25" s="1" t="s">
        <v>80</v>
      </c>
      <c r="D25" s="1"/>
      <c r="E25" s="2" t="s">
        <v>37</v>
      </c>
      <c r="F25" s="2">
        <v>400</v>
      </c>
      <c r="G25" s="2" t="s">
        <v>38</v>
      </c>
      <c r="H25" s="2">
        <v>240</v>
      </c>
      <c r="I25" s="2">
        <v>2304</v>
      </c>
      <c r="J25" s="12">
        <f t="shared" ref="J25:J40" si="12">IFERROR(IF(AND(V25=3,U25&gt;0),I25,I25*U25),"Verify")</f>
        <v>4608</v>
      </c>
      <c r="K25" s="5">
        <f t="shared" ref="K25:K40" si="13">+J25/(F25*H25*10^-5)</f>
        <v>4800</v>
      </c>
      <c r="L25" s="2">
        <v>2</v>
      </c>
      <c r="M25" s="37">
        <f t="shared" ref="M25:M40" si="14">+L25-X25-Z25-AD25-AB25-AF25-AH25-AJ25-AL25-AO25-AQ25-AS25-AU25-AW25-AY25-BA25-BC25-BE25-BG25-BI25-BK25-BM25-BO25-BQ25-BS25-BU25-BW25-BY25-CA25-CC25-CE25-CG25</f>
        <v>2</v>
      </c>
      <c r="N25" s="2"/>
      <c r="O25" s="32"/>
      <c r="P25" s="32">
        <f t="shared" si="10"/>
        <v>4608</v>
      </c>
      <c r="Q25" s="2" t="s">
        <v>16</v>
      </c>
      <c r="R25" s="2" t="s">
        <v>16</v>
      </c>
      <c r="S25" s="2" t="s">
        <v>16</v>
      </c>
      <c r="T25" s="2" t="s">
        <v>16</v>
      </c>
      <c r="U25" s="37">
        <f t="shared" si="11"/>
        <v>2</v>
      </c>
      <c r="V25" s="34"/>
      <c r="W25" s="2" t="s">
        <v>16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>
      <c r="A26" s="35">
        <v>45699</v>
      </c>
      <c r="B26" s="1" t="s">
        <v>81</v>
      </c>
      <c r="C26" s="1" t="s">
        <v>81</v>
      </c>
      <c r="D26" s="1"/>
      <c r="E26" s="2" t="s">
        <v>37</v>
      </c>
      <c r="F26" s="2">
        <v>400</v>
      </c>
      <c r="G26" s="2" t="s">
        <v>38</v>
      </c>
      <c r="H26" s="2">
        <v>168</v>
      </c>
      <c r="I26" s="2">
        <v>1613</v>
      </c>
      <c r="J26" s="12">
        <f t="shared" si="12"/>
        <v>51616</v>
      </c>
      <c r="K26" s="5">
        <f t="shared" si="13"/>
        <v>76809.523809523802</v>
      </c>
      <c r="L26" s="2">
        <v>32</v>
      </c>
      <c r="M26" s="37">
        <f t="shared" si="14"/>
        <v>32</v>
      </c>
      <c r="N26" s="2"/>
      <c r="O26" s="32"/>
      <c r="P26" s="32">
        <f t="shared" si="10"/>
        <v>51616</v>
      </c>
      <c r="Q26" s="2" t="s">
        <v>16</v>
      </c>
      <c r="R26" s="2" t="s">
        <v>16</v>
      </c>
      <c r="S26" s="2" t="s">
        <v>16</v>
      </c>
      <c r="T26" s="2" t="s">
        <v>16</v>
      </c>
      <c r="U26" s="37">
        <f t="shared" si="11"/>
        <v>32</v>
      </c>
      <c r="V26" s="34"/>
      <c r="W26" s="2" t="s">
        <v>16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>
      <c r="A27" s="35">
        <v>45699</v>
      </c>
      <c r="B27" s="1" t="s">
        <v>82</v>
      </c>
      <c r="C27" s="1" t="s">
        <v>82</v>
      </c>
      <c r="D27" s="1"/>
      <c r="E27" s="2" t="s">
        <v>83</v>
      </c>
      <c r="F27" s="2">
        <v>90</v>
      </c>
      <c r="G27" s="2" t="s">
        <v>84</v>
      </c>
      <c r="H27" s="2">
        <v>87</v>
      </c>
      <c r="I27" s="2">
        <v>633</v>
      </c>
      <c r="J27" s="12">
        <f t="shared" si="12"/>
        <v>10761</v>
      </c>
      <c r="K27" s="5">
        <f t="shared" si="13"/>
        <v>137432.95019157085</v>
      </c>
      <c r="L27" s="2">
        <v>17</v>
      </c>
      <c r="M27" s="37">
        <f t="shared" si="14"/>
        <v>17</v>
      </c>
      <c r="N27" s="2" t="s">
        <v>43</v>
      </c>
      <c r="O27" s="32">
        <f>J27</f>
        <v>10761</v>
      </c>
      <c r="P27" s="32">
        <f t="shared" si="10"/>
        <v>0</v>
      </c>
      <c r="Q27" s="2" t="s">
        <v>16</v>
      </c>
      <c r="R27" s="2" t="s">
        <v>16</v>
      </c>
      <c r="S27" s="2" t="s">
        <v>16</v>
      </c>
      <c r="T27" s="2" t="s">
        <v>85</v>
      </c>
      <c r="U27" s="37">
        <f t="shared" si="11"/>
        <v>17</v>
      </c>
      <c r="V27" s="34"/>
      <c r="W27" s="2" t="s">
        <v>16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>
      <c r="A28" s="35">
        <v>45699</v>
      </c>
      <c r="B28" s="1" t="s">
        <v>86</v>
      </c>
      <c r="C28" s="1" t="s">
        <v>86</v>
      </c>
      <c r="D28" s="1"/>
      <c r="E28" s="2" t="s">
        <v>83</v>
      </c>
      <c r="F28" s="2">
        <v>90</v>
      </c>
      <c r="G28" s="2" t="s">
        <v>84</v>
      </c>
      <c r="H28" s="2">
        <v>240</v>
      </c>
      <c r="I28" s="2">
        <v>1687</v>
      </c>
      <c r="J28" s="12">
        <f t="shared" si="12"/>
        <v>8435</v>
      </c>
      <c r="K28" s="5">
        <f t="shared" si="13"/>
        <v>39050.92592592592</v>
      </c>
      <c r="L28" s="2">
        <v>5</v>
      </c>
      <c r="M28" s="37">
        <f t="shared" si="14"/>
        <v>5</v>
      </c>
      <c r="N28" s="2" t="s">
        <v>43</v>
      </c>
      <c r="O28" s="32">
        <f>J28</f>
        <v>8435</v>
      </c>
      <c r="P28" s="32">
        <f t="shared" si="10"/>
        <v>0</v>
      </c>
      <c r="Q28" s="2" t="s">
        <v>16</v>
      </c>
      <c r="R28" s="2" t="s">
        <v>16</v>
      </c>
      <c r="S28" s="2" t="s">
        <v>16</v>
      </c>
      <c r="T28" s="2" t="s">
        <v>87</v>
      </c>
      <c r="U28" s="37">
        <f t="shared" si="11"/>
        <v>5</v>
      </c>
      <c r="V28" s="34"/>
      <c r="W28" s="2" t="s">
        <v>16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86">
      <c r="A29" s="35">
        <v>45699</v>
      </c>
      <c r="B29" s="1" t="s">
        <v>88</v>
      </c>
      <c r="C29" s="1" t="s">
        <v>88</v>
      </c>
      <c r="D29" s="1"/>
      <c r="E29" s="2" t="s">
        <v>83</v>
      </c>
      <c r="F29" s="2">
        <v>90</v>
      </c>
      <c r="G29" s="2" t="s">
        <v>84</v>
      </c>
      <c r="H29" s="2">
        <v>260</v>
      </c>
      <c r="I29" s="2">
        <v>1879</v>
      </c>
      <c r="J29" s="12">
        <f t="shared" si="12"/>
        <v>5637</v>
      </c>
      <c r="K29" s="5">
        <f t="shared" si="13"/>
        <v>24089.74358974359</v>
      </c>
      <c r="L29" s="2">
        <v>3</v>
      </c>
      <c r="M29" s="37">
        <f t="shared" si="14"/>
        <v>3</v>
      </c>
      <c r="N29" s="2" t="s">
        <v>43</v>
      </c>
      <c r="O29" s="32">
        <f>J29</f>
        <v>5637</v>
      </c>
      <c r="P29" s="32">
        <f t="shared" si="10"/>
        <v>0</v>
      </c>
      <c r="Q29" s="2" t="s">
        <v>16</v>
      </c>
      <c r="R29" s="2" t="s">
        <v>16</v>
      </c>
      <c r="S29" s="2" t="s">
        <v>16</v>
      </c>
      <c r="T29" s="2" t="s">
        <v>16</v>
      </c>
      <c r="U29" s="37">
        <f t="shared" si="11"/>
        <v>3</v>
      </c>
      <c r="V29" s="34"/>
      <c r="W29" s="2" t="s">
        <v>16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1:86" ht="28.8">
      <c r="A30" s="35" t="s">
        <v>89</v>
      </c>
      <c r="B30" s="1" t="s">
        <v>90</v>
      </c>
      <c r="C30" s="1" t="s">
        <v>91</v>
      </c>
      <c r="D30" s="1"/>
      <c r="E30" s="2" t="s">
        <v>92</v>
      </c>
      <c r="F30" s="2">
        <v>148</v>
      </c>
      <c r="G30" s="2" t="s">
        <v>93</v>
      </c>
      <c r="H30" s="2">
        <v>68</v>
      </c>
      <c r="I30" s="2">
        <v>639</v>
      </c>
      <c r="J30" s="12">
        <f t="shared" si="12"/>
        <v>639</v>
      </c>
      <c r="K30" s="5">
        <f t="shared" si="13"/>
        <v>6349.3640699523048</v>
      </c>
      <c r="L30" s="2">
        <v>1</v>
      </c>
      <c r="M30" s="37">
        <f t="shared" si="14"/>
        <v>1</v>
      </c>
      <c r="N30" s="2" t="s">
        <v>94</v>
      </c>
      <c r="O30" s="32">
        <f>I30</f>
        <v>639</v>
      </c>
      <c r="P30" s="32">
        <f t="shared" si="10"/>
        <v>0</v>
      </c>
      <c r="Q30" s="2" t="s">
        <v>16</v>
      </c>
      <c r="R30" s="2" t="s">
        <v>16</v>
      </c>
      <c r="S30" s="2" t="s">
        <v>16</v>
      </c>
      <c r="T30" s="2" t="s">
        <v>95</v>
      </c>
      <c r="U30" s="37">
        <f t="shared" si="11"/>
        <v>1</v>
      </c>
      <c r="V30" s="34"/>
      <c r="W30" s="2" t="s">
        <v>16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1:86" ht="28.8">
      <c r="A31" s="35" t="s">
        <v>89</v>
      </c>
      <c r="B31" s="1" t="s">
        <v>90</v>
      </c>
      <c r="C31" s="1" t="s">
        <v>91</v>
      </c>
      <c r="D31" s="1"/>
      <c r="E31" s="2" t="s">
        <v>92</v>
      </c>
      <c r="F31" s="2">
        <v>148</v>
      </c>
      <c r="G31" s="2" t="s">
        <v>96</v>
      </c>
      <c r="H31" s="2">
        <v>68</v>
      </c>
      <c r="I31" s="2">
        <v>639</v>
      </c>
      <c r="J31" s="12">
        <f t="shared" si="12"/>
        <v>639</v>
      </c>
      <c r="K31" s="5">
        <f t="shared" si="13"/>
        <v>6349.3640699523048</v>
      </c>
      <c r="L31" s="2">
        <v>1</v>
      </c>
      <c r="M31" s="37">
        <f t="shared" si="14"/>
        <v>1</v>
      </c>
      <c r="N31" s="2" t="s">
        <v>94</v>
      </c>
      <c r="O31" s="32">
        <f>I31</f>
        <v>639</v>
      </c>
      <c r="P31" s="32">
        <f t="shared" si="10"/>
        <v>0</v>
      </c>
      <c r="Q31" s="2" t="s">
        <v>16</v>
      </c>
      <c r="R31" s="2" t="s">
        <v>16</v>
      </c>
      <c r="S31" s="2" t="s">
        <v>16</v>
      </c>
      <c r="T31" s="2" t="s">
        <v>16</v>
      </c>
      <c r="U31" s="37">
        <f t="shared" si="11"/>
        <v>1</v>
      </c>
      <c r="V31" s="34"/>
      <c r="W31" s="2" t="s">
        <v>16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1:86">
      <c r="A32" s="35" t="s">
        <v>89</v>
      </c>
      <c r="B32" s="1" t="s">
        <v>97</v>
      </c>
      <c r="C32" s="1" t="s">
        <v>98</v>
      </c>
      <c r="D32" s="1"/>
      <c r="E32" s="2" t="s">
        <v>99</v>
      </c>
      <c r="F32" s="2">
        <v>300</v>
      </c>
      <c r="G32" s="2" t="s">
        <v>100</v>
      </c>
      <c r="H32" s="2">
        <v>85</v>
      </c>
      <c r="I32" s="2">
        <v>638</v>
      </c>
      <c r="J32" s="12">
        <f t="shared" si="12"/>
        <v>1276</v>
      </c>
      <c r="K32" s="5">
        <f t="shared" si="13"/>
        <v>5003.9215686274511</v>
      </c>
      <c r="L32" s="2">
        <v>2</v>
      </c>
      <c r="M32" s="37">
        <f t="shared" si="14"/>
        <v>2</v>
      </c>
      <c r="N32" s="2" t="s">
        <v>16</v>
      </c>
      <c r="O32" s="32"/>
      <c r="P32" s="32">
        <f t="shared" si="10"/>
        <v>1276</v>
      </c>
      <c r="Q32" s="2" t="s">
        <v>16</v>
      </c>
      <c r="R32" s="2" t="s">
        <v>16</v>
      </c>
      <c r="S32" s="2" t="s">
        <v>16</v>
      </c>
      <c r="T32" s="2" t="s">
        <v>16</v>
      </c>
      <c r="U32" s="37">
        <f t="shared" si="11"/>
        <v>2</v>
      </c>
      <c r="V32" s="34"/>
      <c r="W32" s="2" t="s">
        <v>16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</row>
    <row r="33" spans="1:86">
      <c r="A33" s="35" t="s">
        <v>89</v>
      </c>
      <c r="B33" s="1" t="s">
        <v>101</v>
      </c>
      <c r="C33" s="1" t="s">
        <v>102</v>
      </c>
      <c r="D33" s="1"/>
      <c r="E33" s="2" t="s">
        <v>99</v>
      </c>
      <c r="F33" s="2">
        <v>350</v>
      </c>
      <c r="G33" s="2" t="s">
        <v>103</v>
      </c>
      <c r="H33" s="2">
        <v>77</v>
      </c>
      <c r="I33" s="2">
        <v>689</v>
      </c>
      <c r="J33" s="12">
        <f t="shared" si="12"/>
        <v>1378</v>
      </c>
      <c r="K33" s="5">
        <f t="shared" si="13"/>
        <v>5113.1725417439702</v>
      </c>
      <c r="L33" s="2">
        <v>2</v>
      </c>
      <c r="M33" s="37">
        <f t="shared" si="14"/>
        <v>2</v>
      </c>
      <c r="N33" s="2" t="s">
        <v>16</v>
      </c>
      <c r="O33" s="32"/>
      <c r="P33" s="32">
        <f t="shared" si="10"/>
        <v>1378</v>
      </c>
      <c r="Q33" s="2" t="s">
        <v>16</v>
      </c>
      <c r="R33" s="2" t="s">
        <v>16</v>
      </c>
      <c r="S33" s="2" t="s">
        <v>16</v>
      </c>
      <c r="T33" s="2" t="s">
        <v>104</v>
      </c>
      <c r="U33" s="37">
        <f t="shared" si="11"/>
        <v>2</v>
      </c>
      <c r="V33" s="34"/>
      <c r="W33" s="2" t="s">
        <v>16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</row>
    <row r="34" spans="1:86" ht="28.8">
      <c r="A34" s="35" t="s">
        <v>89</v>
      </c>
      <c r="B34" s="1" t="s">
        <v>105</v>
      </c>
      <c r="C34" s="1" t="s">
        <v>106</v>
      </c>
      <c r="D34" s="1"/>
      <c r="E34" s="2" t="s">
        <v>99</v>
      </c>
      <c r="F34" s="2">
        <v>345</v>
      </c>
      <c r="G34" s="2" t="s">
        <v>107</v>
      </c>
      <c r="H34" s="2">
        <v>78</v>
      </c>
      <c r="I34" s="2">
        <v>511</v>
      </c>
      <c r="J34" s="12">
        <f t="shared" si="12"/>
        <v>3066</v>
      </c>
      <c r="K34" s="5">
        <f t="shared" si="13"/>
        <v>11393.534002229655</v>
      </c>
      <c r="L34" s="2">
        <v>6</v>
      </c>
      <c r="M34" s="37">
        <f t="shared" si="14"/>
        <v>6</v>
      </c>
      <c r="N34" s="2" t="s">
        <v>16</v>
      </c>
      <c r="O34" s="32"/>
      <c r="P34" s="32">
        <f t="shared" si="10"/>
        <v>3066</v>
      </c>
      <c r="Q34" s="2" t="s">
        <v>16</v>
      </c>
      <c r="R34" s="2" t="s">
        <v>16</v>
      </c>
      <c r="S34" s="2" t="s">
        <v>16</v>
      </c>
      <c r="T34" s="2" t="s">
        <v>16</v>
      </c>
      <c r="U34" s="37">
        <f t="shared" si="11"/>
        <v>6</v>
      </c>
      <c r="V34" s="34"/>
      <c r="W34" s="2" t="s">
        <v>16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</row>
    <row r="35" spans="1:86" ht="28.8">
      <c r="A35" s="35" t="s">
        <v>89</v>
      </c>
      <c r="B35" s="1" t="s">
        <v>105</v>
      </c>
      <c r="C35" s="1" t="s">
        <v>106</v>
      </c>
      <c r="D35" s="1"/>
      <c r="E35" s="2" t="s">
        <v>99</v>
      </c>
      <c r="F35" s="2">
        <v>345</v>
      </c>
      <c r="G35" s="2" t="s">
        <v>108</v>
      </c>
      <c r="H35" s="2">
        <v>78</v>
      </c>
      <c r="I35" s="2">
        <v>511</v>
      </c>
      <c r="J35" s="12">
        <f t="shared" si="12"/>
        <v>5621</v>
      </c>
      <c r="K35" s="5">
        <f t="shared" si="13"/>
        <v>20888.145670754366</v>
      </c>
      <c r="L35" s="2">
        <v>11</v>
      </c>
      <c r="M35" s="37">
        <f t="shared" si="14"/>
        <v>11</v>
      </c>
      <c r="N35" s="2" t="s">
        <v>16</v>
      </c>
      <c r="O35" s="32"/>
      <c r="P35" s="32">
        <f t="shared" si="10"/>
        <v>5621</v>
      </c>
      <c r="Q35" s="2" t="s">
        <v>16</v>
      </c>
      <c r="R35" s="2"/>
      <c r="S35" s="2"/>
      <c r="T35" s="2" t="s">
        <v>109</v>
      </c>
      <c r="U35" s="37">
        <f t="shared" si="11"/>
        <v>11</v>
      </c>
      <c r="V35" s="34"/>
      <c r="W35" s="2" t="s">
        <v>16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</row>
    <row r="36" spans="1:86" ht="28.8">
      <c r="A36" s="35" t="s">
        <v>89</v>
      </c>
      <c r="B36" s="1" t="s">
        <v>105</v>
      </c>
      <c r="C36" s="1" t="s">
        <v>106</v>
      </c>
      <c r="D36" s="1"/>
      <c r="E36" s="2" t="s">
        <v>99</v>
      </c>
      <c r="F36" s="2">
        <v>345</v>
      </c>
      <c r="G36" s="2" t="s">
        <v>108</v>
      </c>
      <c r="H36" s="2">
        <v>78</v>
      </c>
      <c r="I36" s="2">
        <v>484</v>
      </c>
      <c r="J36" s="12">
        <f t="shared" si="12"/>
        <v>484</v>
      </c>
      <c r="K36" s="5">
        <f t="shared" si="13"/>
        <v>1798.5878855444073</v>
      </c>
      <c r="L36" s="2">
        <v>1</v>
      </c>
      <c r="M36" s="37">
        <f t="shared" si="14"/>
        <v>1</v>
      </c>
      <c r="N36" s="2" t="s">
        <v>16</v>
      </c>
      <c r="O36" s="32"/>
      <c r="P36" s="32">
        <f t="shared" si="10"/>
        <v>484</v>
      </c>
      <c r="Q36" s="2" t="s">
        <v>16</v>
      </c>
      <c r="R36" s="2" t="s">
        <v>16</v>
      </c>
      <c r="S36" s="2" t="s">
        <v>16</v>
      </c>
      <c r="T36" s="2" t="s">
        <v>16</v>
      </c>
      <c r="U36" s="37">
        <f t="shared" si="11"/>
        <v>1</v>
      </c>
      <c r="V36" s="34"/>
      <c r="W36" s="2" t="s">
        <v>16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</row>
    <row r="37" spans="1:86" ht="28.8">
      <c r="A37" s="35" t="s">
        <v>89</v>
      </c>
      <c r="B37" s="1" t="s">
        <v>105</v>
      </c>
      <c r="C37" s="1" t="s">
        <v>106</v>
      </c>
      <c r="D37" s="1"/>
      <c r="E37" s="2" t="s">
        <v>99</v>
      </c>
      <c r="F37" s="2">
        <v>345</v>
      </c>
      <c r="G37" s="2" t="s">
        <v>108</v>
      </c>
      <c r="H37" s="2">
        <v>78</v>
      </c>
      <c r="I37" s="2">
        <v>511</v>
      </c>
      <c r="J37" s="12">
        <f t="shared" si="12"/>
        <v>511</v>
      </c>
      <c r="K37" s="5">
        <f t="shared" si="13"/>
        <v>1898.9223337049423</v>
      </c>
      <c r="L37" s="2">
        <v>1</v>
      </c>
      <c r="M37" s="37">
        <f t="shared" si="14"/>
        <v>1</v>
      </c>
      <c r="N37" s="2" t="s">
        <v>16</v>
      </c>
      <c r="O37" s="32"/>
      <c r="P37" s="32">
        <f t="shared" si="10"/>
        <v>511</v>
      </c>
      <c r="Q37" s="2" t="s">
        <v>16</v>
      </c>
      <c r="R37" s="2" t="s">
        <v>16</v>
      </c>
      <c r="S37" s="2" t="s">
        <v>16</v>
      </c>
      <c r="T37" s="2" t="s">
        <v>16</v>
      </c>
      <c r="U37" s="37">
        <f t="shared" si="11"/>
        <v>1</v>
      </c>
      <c r="V37" s="34"/>
      <c r="W37" s="2" t="s">
        <v>16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</row>
    <row r="38" spans="1:86" ht="28.8">
      <c r="A38" s="35" t="s">
        <v>89</v>
      </c>
      <c r="B38" s="1" t="s">
        <v>105</v>
      </c>
      <c r="C38" s="1" t="s">
        <v>106</v>
      </c>
      <c r="D38" s="1"/>
      <c r="E38" s="2" t="s">
        <v>99</v>
      </c>
      <c r="F38" s="2">
        <v>345</v>
      </c>
      <c r="G38" s="2" t="s">
        <v>110</v>
      </c>
      <c r="H38" s="2">
        <v>78</v>
      </c>
      <c r="I38" s="2">
        <v>511</v>
      </c>
      <c r="J38" s="12">
        <f t="shared" si="12"/>
        <v>511</v>
      </c>
      <c r="K38" s="5">
        <f t="shared" si="13"/>
        <v>1898.9223337049423</v>
      </c>
      <c r="L38" s="2">
        <v>1</v>
      </c>
      <c r="M38" s="37">
        <f t="shared" si="14"/>
        <v>1</v>
      </c>
      <c r="N38" s="2" t="s">
        <v>16</v>
      </c>
      <c r="O38" s="32"/>
      <c r="P38" s="32">
        <f t="shared" si="10"/>
        <v>511</v>
      </c>
      <c r="Q38" s="2" t="s">
        <v>16</v>
      </c>
      <c r="R38" s="2" t="s">
        <v>16</v>
      </c>
      <c r="S38" s="2" t="s">
        <v>16</v>
      </c>
      <c r="T38" s="2" t="s">
        <v>16</v>
      </c>
      <c r="U38" s="37">
        <f t="shared" si="11"/>
        <v>1</v>
      </c>
      <c r="V38" s="34"/>
      <c r="W38" s="2" t="s">
        <v>16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</row>
    <row r="39" spans="1:86" ht="28.8">
      <c r="A39" s="35" t="s">
        <v>89</v>
      </c>
      <c r="B39" s="1" t="s">
        <v>111</v>
      </c>
      <c r="C39" s="1" t="s">
        <v>111</v>
      </c>
      <c r="D39" s="1"/>
      <c r="E39" s="2" t="s">
        <v>112</v>
      </c>
      <c r="F39" s="2">
        <v>120</v>
      </c>
      <c r="G39" s="2" t="s">
        <v>113</v>
      </c>
      <c r="H39" s="2">
        <v>116</v>
      </c>
      <c r="I39" s="2">
        <v>1072</v>
      </c>
      <c r="J39" s="12">
        <f t="shared" si="12"/>
        <v>3216</v>
      </c>
      <c r="K39" s="5">
        <f t="shared" si="13"/>
        <v>23103.448275862065</v>
      </c>
      <c r="L39" s="2">
        <v>3</v>
      </c>
      <c r="M39" s="37">
        <f t="shared" si="14"/>
        <v>3</v>
      </c>
      <c r="N39" s="2" t="s">
        <v>16</v>
      </c>
      <c r="O39" s="32"/>
      <c r="P39" s="32">
        <f t="shared" si="10"/>
        <v>3216</v>
      </c>
      <c r="Q39" s="2" t="s">
        <v>16</v>
      </c>
      <c r="R39" s="2" t="s">
        <v>16</v>
      </c>
      <c r="S39" s="2" t="s">
        <v>16</v>
      </c>
      <c r="T39" s="2" t="s">
        <v>16</v>
      </c>
      <c r="U39" s="37">
        <f t="shared" si="11"/>
        <v>3</v>
      </c>
      <c r="V39" s="34"/>
      <c r="W39" s="2" t="s">
        <v>16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</row>
    <row r="40" spans="1:86" ht="28.8">
      <c r="A40" s="35" t="s">
        <v>89</v>
      </c>
      <c r="B40" s="1" t="s">
        <v>111</v>
      </c>
      <c r="C40" s="1" t="s">
        <v>111</v>
      </c>
      <c r="D40" s="1"/>
      <c r="E40" s="2" t="s">
        <v>112</v>
      </c>
      <c r="F40" s="2">
        <v>120</v>
      </c>
      <c r="G40" s="2" t="s">
        <v>113</v>
      </c>
      <c r="H40" s="2">
        <v>116</v>
      </c>
      <c r="I40" s="2">
        <v>1067</v>
      </c>
      <c r="J40" s="12">
        <f t="shared" si="12"/>
        <v>3201</v>
      </c>
      <c r="K40" s="5">
        <f t="shared" si="13"/>
        <v>22995.689655172409</v>
      </c>
      <c r="L40" s="2">
        <v>3</v>
      </c>
      <c r="M40" s="37">
        <f t="shared" si="14"/>
        <v>3</v>
      </c>
      <c r="N40" s="2" t="s">
        <v>16</v>
      </c>
      <c r="O40" s="32"/>
      <c r="P40" s="32">
        <f t="shared" si="10"/>
        <v>3201</v>
      </c>
      <c r="Q40" s="2" t="s">
        <v>16</v>
      </c>
      <c r="R40" s="2" t="s">
        <v>16</v>
      </c>
      <c r="S40" s="2" t="s">
        <v>16</v>
      </c>
      <c r="T40" s="2" t="s">
        <v>16</v>
      </c>
      <c r="U40" s="37">
        <f t="shared" si="11"/>
        <v>3</v>
      </c>
      <c r="V40" s="34"/>
      <c r="W40" s="2" t="s">
        <v>16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</row>
    <row r="41" spans="1:86">
      <c r="A41" s="35" t="s">
        <v>89</v>
      </c>
      <c r="B41" s="1" t="s">
        <v>81</v>
      </c>
      <c r="C41" s="1" t="s">
        <v>81</v>
      </c>
      <c r="D41" s="1"/>
      <c r="E41" s="2" t="s">
        <v>37</v>
      </c>
      <c r="F41" s="2">
        <v>400</v>
      </c>
      <c r="G41" s="2" t="s">
        <v>38</v>
      </c>
      <c r="H41" s="2">
        <v>168</v>
      </c>
      <c r="I41" s="2">
        <v>1613</v>
      </c>
      <c r="J41" s="12">
        <f t="shared" ref="J41:J47" si="15">IFERROR(IF(AND(V41=3,U41&gt;0),I41,I41*U41),"Verify")</f>
        <v>4839</v>
      </c>
      <c r="K41" s="5">
        <f t="shared" ref="K41:K47" si="16">+J41/(F41*H41*10^-5)</f>
        <v>7200.8928571428569</v>
      </c>
      <c r="L41" s="2">
        <v>3</v>
      </c>
      <c r="M41" s="37">
        <f t="shared" ref="M41:M47" si="17">+L41-X41-Z41-AD41-AB41-AF41-AH41-AJ41-AL41-AO41-AQ41-AS41-AU41-AW41-AY41-BA41-BC41-BE41-BG41-BI41-BK41-BM41-BO41-BQ41-BS41-BU41-BW41-BY41-CA41-CC41-CE41-CG41</f>
        <v>3</v>
      </c>
      <c r="N41" s="2"/>
      <c r="O41" s="32"/>
      <c r="P41" s="32">
        <f t="shared" si="10"/>
        <v>4839</v>
      </c>
      <c r="Q41" s="2" t="s">
        <v>16</v>
      </c>
      <c r="R41" s="2" t="s">
        <v>16</v>
      </c>
      <c r="S41" s="2" t="s">
        <v>16</v>
      </c>
      <c r="T41" s="2" t="s">
        <v>16</v>
      </c>
      <c r="U41" s="37">
        <f t="shared" si="11"/>
        <v>3</v>
      </c>
      <c r="V41" s="34"/>
      <c r="W41" s="2" t="s">
        <v>16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</row>
    <row r="42" spans="1:86">
      <c r="A42" s="35" t="s">
        <v>89</v>
      </c>
      <c r="B42" s="1" t="s">
        <v>81</v>
      </c>
      <c r="C42" s="1" t="s">
        <v>81</v>
      </c>
      <c r="D42" s="1"/>
      <c r="E42" s="2" t="s">
        <v>37</v>
      </c>
      <c r="F42" s="2">
        <v>400</v>
      </c>
      <c r="G42" s="2" t="s">
        <v>38</v>
      </c>
      <c r="H42" s="2">
        <v>168</v>
      </c>
      <c r="I42" s="2">
        <v>1613</v>
      </c>
      <c r="J42" s="12">
        <f t="shared" si="15"/>
        <v>6452</v>
      </c>
      <c r="K42" s="5">
        <f t="shared" si="16"/>
        <v>9601.1904761904752</v>
      </c>
      <c r="L42" s="2">
        <v>4</v>
      </c>
      <c r="M42" s="37">
        <f t="shared" si="17"/>
        <v>4</v>
      </c>
      <c r="N42" s="2"/>
      <c r="O42" s="32"/>
      <c r="P42" s="32">
        <f t="shared" si="10"/>
        <v>6452</v>
      </c>
      <c r="Q42" s="2" t="s">
        <v>16</v>
      </c>
      <c r="R42" s="2" t="s">
        <v>16</v>
      </c>
      <c r="S42" s="2" t="s">
        <v>16</v>
      </c>
      <c r="T42" s="2" t="s">
        <v>16</v>
      </c>
      <c r="U42" s="37">
        <f t="shared" si="11"/>
        <v>4</v>
      </c>
      <c r="V42" s="34"/>
      <c r="W42" s="2" t="s">
        <v>16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</row>
    <row r="43" spans="1:86">
      <c r="A43" s="35" t="s">
        <v>89</v>
      </c>
      <c r="B43" s="1" t="s">
        <v>81</v>
      </c>
      <c r="C43" s="1" t="s">
        <v>81</v>
      </c>
      <c r="D43" s="1"/>
      <c r="E43" s="2" t="s">
        <v>37</v>
      </c>
      <c r="F43" s="2">
        <v>400</v>
      </c>
      <c r="G43" s="2" t="s">
        <v>38</v>
      </c>
      <c r="H43" s="2">
        <v>168</v>
      </c>
      <c r="I43" s="2">
        <v>1613</v>
      </c>
      <c r="J43" s="12">
        <f t="shared" si="15"/>
        <v>4839</v>
      </c>
      <c r="K43" s="5">
        <f t="shared" si="16"/>
        <v>7200.8928571428569</v>
      </c>
      <c r="L43" s="2">
        <v>3</v>
      </c>
      <c r="M43" s="37">
        <f t="shared" si="17"/>
        <v>3</v>
      </c>
      <c r="N43" s="2"/>
      <c r="O43" s="32"/>
      <c r="P43" s="32">
        <f t="shared" ref="P43:P89" si="18">+J43-O43</f>
        <v>4839</v>
      </c>
      <c r="Q43" s="2" t="s">
        <v>16</v>
      </c>
      <c r="R43" s="2" t="s">
        <v>16</v>
      </c>
      <c r="S43" s="2" t="s">
        <v>16</v>
      </c>
      <c r="T43" s="2" t="s">
        <v>16</v>
      </c>
      <c r="U43" s="37">
        <f t="shared" si="11"/>
        <v>3</v>
      </c>
      <c r="V43" s="34"/>
      <c r="W43" s="2" t="s">
        <v>16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 spans="1:86">
      <c r="A44" s="35" t="s">
        <v>89</v>
      </c>
      <c r="B44" s="1" t="s">
        <v>81</v>
      </c>
      <c r="C44" s="1" t="s">
        <v>81</v>
      </c>
      <c r="D44" s="1"/>
      <c r="E44" s="2" t="s">
        <v>37</v>
      </c>
      <c r="F44" s="2">
        <v>400</v>
      </c>
      <c r="G44" s="2" t="s">
        <v>38</v>
      </c>
      <c r="H44" s="2">
        <v>168</v>
      </c>
      <c r="I44" s="2">
        <v>1613</v>
      </c>
      <c r="J44" s="12">
        <f t="shared" si="15"/>
        <v>6452</v>
      </c>
      <c r="K44" s="5">
        <f t="shared" si="16"/>
        <v>9601.1904761904752</v>
      </c>
      <c r="L44" s="2">
        <v>4</v>
      </c>
      <c r="M44" s="37">
        <f t="shared" si="17"/>
        <v>4</v>
      </c>
      <c r="N44" s="2"/>
      <c r="O44" s="32"/>
      <c r="P44" s="32">
        <f t="shared" si="18"/>
        <v>6452</v>
      </c>
      <c r="Q44" s="2" t="s">
        <v>16</v>
      </c>
      <c r="R44" s="2" t="s">
        <v>16</v>
      </c>
      <c r="S44" s="2" t="s">
        <v>16</v>
      </c>
      <c r="T44" s="2" t="s">
        <v>16</v>
      </c>
      <c r="U44" s="37">
        <f t="shared" si="11"/>
        <v>4</v>
      </c>
      <c r="V44" s="34"/>
      <c r="W44" s="2" t="s">
        <v>16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 spans="1:86">
      <c r="A45" s="35" t="s">
        <v>89</v>
      </c>
      <c r="B45" s="1" t="s">
        <v>81</v>
      </c>
      <c r="C45" s="1" t="s">
        <v>81</v>
      </c>
      <c r="D45" s="1"/>
      <c r="E45" s="2" t="s">
        <v>37</v>
      </c>
      <c r="F45" s="2">
        <v>400</v>
      </c>
      <c r="G45" s="2" t="s">
        <v>38</v>
      </c>
      <c r="H45" s="2">
        <v>168</v>
      </c>
      <c r="I45" s="2">
        <v>1613</v>
      </c>
      <c r="J45" s="12">
        <f t="shared" si="15"/>
        <v>8065</v>
      </c>
      <c r="K45" s="5">
        <f t="shared" si="16"/>
        <v>12001.488095238094</v>
      </c>
      <c r="L45" s="2">
        <v>5</v>
      </c>
      <c r="M45" s="37">
        <f t="shared" si="17"/>
        <v>5</v>
      </c>
      <c r="N45" s="2"/>
      <c r="O45" s="32"/>
      <c r="P45" s="32">
        <f t="shared" si="18"/>
        <v>8065</v>
      </c>
      <c r="Q45" s="2" t="s">
        <v>16</v>
      </c>
      <c r="R45" s="2" t="s">
        <v>16</v>
      </c>
      <c r="S45" s="2" t="s">
        <v>16</v>
      </c>
      <c r="T45" s="2" t="s">
        <v>16</v>
      </c>
      <c r="U45" s="37">
        <f t="shared" si="11"/>
        <v>5</v>
      </c>
      <c r="V45" s="34"/>
      <c r="W45" s="2" t="s">
        <v>16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</row>
    <row r="46" spans="1:86">
      <c r="A46" s="35" t="s">
        <v>89</v>
      </c>
      <c r="B46" s="1" t="s">
        <v>81</v>
      </c>
      <c r="C46" s="1" t="s">
        <v>81</v>
      </c>
      <c r="D46" s="1"/>
      <c r="E46" s="2" t="s">
        <v>37</v>
      </c>
      <c r="F46" s="2">
        <v>400</v>
      </c>
      <c r="G46" s="2" t="s">
        <v>38</v>
      </c>
      <c r="H46" s="2">
        <v>168</v>
      </c>
      <c r="I46" s="2">
        <v>1613</v>
      </c>
      <c r="J46" s="12">
        <f t="shared" si="15"/>
        <v>4839</v>
      </c>
      <c r="K46" s="5">
        <f t="shared" si="16"/>
        <v>7200.8928571428569</v>
      </c>
      <c r="L46" s="2">
        <v>3</v>
      </c>
      <c r="M46" s="37">
        <f t="shared" si="17"/>
        <v>3</v>
      </c>
      <c r="N46" s="2"/>
      <c r="O46" s="32"/>
      <c r="P46" s="32">
        <f t="shared" si="18"/>
        <v>4839</v>
      </c>
      <c r="Q46" s="2" t="s">
        <v>16</v>
      </c>
      <c r="R46" s="2" t="s">
        <v>16</v>
      </c>
      <c r="S46" s="2" t="s">
        <v>16</v>
      </c>
      <c r="T46" s="2" t="s">
        <v>16</v>
      </c>
      <c r="U46" s="37">
        <f t="shared" ref="U46:U98" si="19">+L46-X46-Z46-AD46-AB46-AF46-AH46-AJ46-AL46-AO46-AQ46-AS46-AU46-AW46-AY46-BA46-BC46-BE46-BG46-BI46-BK46-BM46-BO46-BQ46-BS46-BU46-BW46-BY46-CA46-CC46-CE46-CG46</f>
        <v>3</v>
      </c>
      <c r="V46" s="34"/>
      <c r="W46" s="2" t="s">
        <v>16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 spans="1:86">
      <c r="A47" s="35" t="s">
        <v>89</v>
      </c>
      <c r="B47" s="1" t="s">
        <v>81</v>
      </c>
      <c r="C47" s="1" t="s">
        <v>81</v>
      </c>
      <c r="D47" s="1"/>
      <c r="E47" s="2" t="s">
        <v>37</v>
      </c>
      <c r="F47" s="2">
        <v>400</v>
      </c>
      <c r="G47" s="2" t="s">
        <v>38</v>
      </c>
      <c r="H47" s="2">
        <v>168</v>
      </c>
      <c r="I47" s="2">
        <v>1613</v>
      </c>
      <c r="J47" s="12">
        <f t="shared" si="15"/>
        <v>4839</v>
      </c>
      <c r="K47" s="5">
        <f t="shared" si="16"/>
        <v>7200.8928571428569</v>
      </c>
      <c r="L47" s="2">
        <v>3</v>
      </c>
      <c r="M47" s="37">
        <f t="shared" si="17"/>
        <v>3</v>
      </c>
      <c r="N47" s="2"/>
      <c r="O47" s="32"/>
      <c r="P47" s="32">
        <f t="shared" si="18"/>
        <v>4839</v>
      </c>
      <c r="Q47" s="2" t="s">
        <v>16</v>
      </c>
      <c r="R47" s="2" t="s">
        <v>16</v>
      </c>
      <c r="S47" s="2" t="s">
        <v>16</v>
      </c>
      <c r="T47" s="2" t="s">
        <v>16</v>
      </c>
      <c r="U47" s="37">
        <f t="shared" si="19"/>
        <v>3</v>
      </c>
      <c r="V47" s="34"/>
      <c r="W47" s="2" t="s">
        <v>16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 spans="1:86">
      <c r="A48" s="35" t="s">
        <v>89</v>
      </c>
      <c r="B48" s="1" t="s">
        <v>81</v>
      </c>
      <c r="C48" s="1" t="s">
        <v>81</v>
      </c>
      <c r="D48" s="1"/>
      <c r="E48" s="2" t="s">
        <v>37</v>
      </c>
      <c r="F48" s="2">
        <v>400</v>
      </c>
      <c r="G48" s="2" t="s">
        <v>38</v>
      </c>
      <c r="H48" s="2">
        <v>168</v>
      </c>
      <c r="I48" s="2">
        <v>1613</v>
      </c>
      <c r="J48" s="12">
        <f t="shared" ref="J48:J57" si="20">IFERROR(IF(AND(V48=3,U48&gt;0),I48,I48*U48),"Verify")</f>
        <v>4839</v>
      </c>
      <c r="K48" s="5">
        <f t="shared" ref="K48:K57" si="21">+J48/(F48*H48*10^-5)</f>
        <v>7200.8928571428569</v>
      </c>
      <c r="L48" s="2">
        <v>3</v>
      </c>
      <c r="M48" s="37">
        <f t="shared" ref="M48:M57" si="22">+L48-X48-Z48-AD48-AB48-AF48-AH48-AJ48-AL48-AO48-AQ48-AS48-AU48-AW48-AY48-BA48-BC48-BE48-BG48-BI48-BK48-BM48-BO48-BQ48-BS48-BU48-BW48-BY48-CA48-CC48-CE48-CG48</f>
        <v>3</v>
      </c>
      <c r="N48" s="2"/>
      <c r="O48" s="32"/>
      <c r="P48" s="32">
        <f t="shared" si="18"/>
        <v>4839</v>
      </c>
      <c r="Q48" s="2" t="s">
        <v>16</v>
      </c>
      <c r="R48" s="2" t="s">
        <v>16</v>
      </c>
      <c r="S48" s="2" t="s">
        <v>16</v>
      </c>
      <c r="T48" s="2" t="s">
        <v>16</v>
      </c>
      <c r="U48" s="37">
        <f t="shared" si="19"/>
        <v>3</v>
      </c>
      <c r="V48" s="34"/>
      <c r="W48" s="2" t="s">
        <v>16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</row>
    <row r="49" spans="1:86">
      <c r="A49" s="35" t="s">
        <v>89</v>
      </c>
      <c r="B49" s="1" t="s">
        <v>80</v>
      </c>
      <c r="C49" s="1" t="s">
        <v>80</v>
      </c>
      <c r="D49" s="1"/>
      <c r="E49" s="2" t="s">
        <v>37</v>
      </c>
      <c r="F49" s="2">
        <v>400</v>
      </c>
      <c r="G49" s="2" t="s">
        <v>38</v>
      </c>
      <c r="H49" s="2">
        <v>240</v>
      </c>
      <c r="I49" s="2">
        <v>2304</v>
      </c>
      <c r="J49" s="12">
        <f t="shared" si="20"/>
        <v>2304</v>
      </c>
      <c r="K49" s="5">
        <f t="shared" si="21"/>
        <v>2400</v>
      </c>
      <c r="L49" s="2">
        <v>1</v>
      </c>
      <c r="M49" s="37">
        <f t="shared" si="22"/>
        <v>1</v>
      </c>
      <c r="N49" s="2"/>
      <c r="O49" s="32"/>
      <c r="P49" s="32">
        <f t="shared" si="18"/>
        <v>2304</v>
      </c>
      <c r="Q49" s="2" t="s">
        <v>16</v>
      </c>
      <c r="R49" s="2" t="s">
        <v>16</v>
      </c>
      <c r="S49" s="2" t="s">
        <v>16</v>
      </c>
      <c r="T49" s="2" t="s">
        <v>16</v>
      </c>
      <c r="U49" s="37">
        <f t="shared" si="19"/>
        <v>1</v>
      </c>
      <c r="V49" s="34"/>
      <c r="W49" s="2" t="s">
        <v>16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 spans="1:86">
      <c r="A50" s="35" t="s">
        <v>89</v>
      </c>
      <c r="B50" s="1" t="s">
        <v>81</v>
      </c>
      <c r="C50" s="1" t="s">
        <v>81</v>
      </c>
      <c r="D50" s="1"/>
      <c r="E50" s="2" t="s">
        <v>37</v>
      </c>
      <c r="F50" s="2">
        <v>400</v>
      </c>
      <c r="G50" s="2" t="s">
        <v>38</v>
      </c>
      <c r="H50" s="2">
        <v>168</v>
      </c>
      <c r="I50" s="2">
        <v>1613</v>
      </c>
      <c r="J50" s="12">
        <f t="shared" si="20"/>
        <v>1613</v>
      </c>
      <c r="K50" s="5">
        <f t="shared" si="21"/>
        <v>2400.2976190476188</v>
      </c>
      <c r="L50" s="2">
        <v>1</v>
      </c>
      <c r="M50" s="37">
        <f t="shared" si="22"/>
        <v>1</v>
      </c>
      <c r="N50" s="2"/>
      <c r="O50" s="32"/>
      <c r="P50" s="32">
        <f t="shared" si="18"/>
        <v>1613</v>
      </c>
      <c r="Q50" s="2" t="s">
        <v>16</v>
      </c>
      <c r="R50" s="2" t="s">
        <v>16</v>
      </c>
      <c r="S50" s="2" t="s">
        <v>16</v>
      </c>
      <c r="T50" s="2" t="s">
        <v>16</v>
      </c>
      <c r="U50" s="37">
        <f t="shared" si="19"/>
        <v>1</v>
      </c>
      <c r="V50" s="34"/>
      <c r="W50" s="2" t="s">
        <v>16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 spans="1:86">
      <c r="A51" s="35" t="s">
        <v>89</v>
      </c>
      <c r="B51" s="1" t="s">
        <v>80</v>
      </c>
      <c r="C51" s="1" t="s">
        <v>80</v>
      </c>
      <c r="D51" s="1"/>
      <c r="E51" s="2" t="s">
        <v>37</v>
      </c>
      <c r="F51" s="2">
        <v>400</v>
      </c>
      <c r="G51" s="2" t="s">
        <v>38</v>
      </c>
      <c r="H51" s="2">
        <v>240</v>
      </c>
      <c r="I51" s="2">
        <v>2304</v>
      </c>
      <c r="J51" s="12">
        <f t="shared" si="20"/>
        <v>2304</v>
      </c>
      <c r="K51" s="5">
        <f t="shared" si="21"/>
        <v>2400</v>
      </c>
      <c r="L51" s="2">
        <v>1</v>
      </c>
      <c r="M51" s="37">
        <f t="shared" si="22"/>
        <v>1</v>
      </c>
      <c r="N51" s="2"/>
      <c r="O51" s="32"/>
      <c r="P51" s="32">
        <f t="shared" si="18"/>
        <v>2304</v>
      </c>
      <c r="Q51" s="2" t="s">
        <v>16</v>
      </c>
      <c r="R51" s="2" t="s">
        <v>16</v>
      </c>
      <c r="S51" s="2" t="s">
        <v>16</v>
      </c>
      <c r="T51" s="2" t="s">
        <v>16</v>
      </c>
      <c r="U51" s="37">
        <f t="shared" si="19"/>
        <v>1</v>
      </c>
      <c r="V51" s="34"/>
      <c r="W51" s="2" t="s">
        <v>16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 spans="1:86">
      <c r="A52" s="35" t="s">
        <v>89</v>
      </c>
      <c r="B52" s="1" t="s">
        <v>80</v>
      </c>
      <c r="C52" s="1" t="s">
        <v>80</v>
      </c>
      <c r="D52" s="1"/>
      <c r="E52" s="2" t="s">
        <v>37</v>
      </c>
      <c r="F52" s="2">
        <v>400</v>
      </c>
      <c r="G52" s="2" t="s">
        <v>38</v>
      </c>
      <c r="H52" s="2">
        <v>240</v>
      </c>
      <c r="I52" s="2">
        <v>2304</v>
      </c>
      <c r="J52" s="12">
        <f t="shared" si="20"/>
        <v>2304</v>
      </c>
      <c r="K52" s="5">
        <f t="shared" si="21"/>
        <v>2400</v>
      </c>
      <c r="L52" s="2">
        <v>1</v>
      </c>
      <c r="M52" s="37">
        <f t="shared" si="22"/>
        <v>1</v>
      </c>
      <c r="N52" s="2"/>
      <c r="O52" s="32"/>
      <c r="P52" s="32">
        <f t="shared" si="18"/>
        <v>2304</v>
      </c>
      <c r="Q52" s="2" t="s">
        <v>16</v>
      </c>
      <c r="R52" s="2" t="s">
        <v>16</v>
      </c>
      <c r="S52" s="2" t="s">
        <v>16</v>
      </c>
      <c r="T52" s="2" t="s">
        <v>16</v>
      </c>
      <c r="U52" s="37">
        <f t="shared" si="19"/>
        <v>1</v>
      </c>
      <c r="V52" s="34"/>
      <c r="W52" s="2" t="s">
        <v>16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</row>
    <row r="53" spans="1:86">
      <c r="A53" s="35" t="s">
        <v>89</v>
      </c>
      <c r="B53" s="1" t="s">
        <v>80</v>
      </c>
      <c r="C53" s="1" t="s">
        <v>80</v>
      </c>
      <c r="D53" s="1"/>
      <c r="E53" s="2" t="s">
        <v>37</v>
      </c>
      <c r="F53" s="2">
        <v>400</v>
      </c>
      <c r="G53" s="2" t="s">
        <v>38</v>
      </c>
      <c r="H53" s="2">
        <v>240</v>
      </c>
      <c r="I53" s="2">
        <v>2304</v>
      </c>
      <c r="J53" s="12">
        <f t="shared" si="20"/>
        <v>2304</v>
      </c>
      <c r="K53" s="5">
        <f t="shared" si="21"/>
        <v>2400</v>
      </c>
      <c r="L53" s="2">
        <v>1</v>
      </c>
      <c r="M53" s="37">
        <f t="shared" si="22"/>
        <v>1</v>
      </c>
      <c r="N53" s="2"/>
      <c r="O53" s="32"/>
      <c r="P53" s="32">
        <f t="shared" si="18"/>
        <v>2304</v>
      </c>
      <c r="Q53" s="2" t="s">
        <v>16</v>
      </c>
      <c r="R53" s="2" t="s">
        <v>16</v>
      </c>
      <c r="S53" s="2" t="s">
        <v>16</v>
      </c>
      <c r="T53" s="2" t="s">
        <v>16</v>
      </c>
      <c r="U53" s="37">
        <f t="shared" si="19"/>
        <v>1</v>
      </c>
      <c r="V53" s="34"/>
      <c r="W53" s="2" t="s">
        <v>16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 spans="1:86">
      <c r="A54" s="35" t="s">
        <v>89</v>
      </c>
      <c r="B54" s="1" t="s">
        <v>80</v>
      </c>
      <c r="C54" s="1" t="s">
        <v>80</v>
      </c>
      <c r="D54" s="1"/>
      <c r="E54" s="2" t="s">
        <v>37</v>
      </c>
      <c r="F54" s="2">
        <v>400</v>
      </c>
      <c r="G54" s="2" t="s">
        <v>38</v>
      </c>
      <c r="H54" s="2">
        <v>240</v>
      </c>
      <c r="I54" s="2">
        <v>2304</v>
      </c>
      <c r="J54" s="12">
        <f t="shared" si="20"/>
        <v>2304</v>
      </c>
      <c r="K54" s="5">
        <f t="shared" si="21"/>
        <v>2400</v>
      </c>
      <c r="L54" s="2">
        <v>1</v>
      </c>
      <c r="M54" s="37">
        <f t="shared" si="22"/>
        <v>1</v>
      </c>
      <c r="N54" s="2"/>
      <c r="O54" s="32"/>
      <c r="P54" s="32">
        <f t="shared" si="18"/>
        <v>2304</v>
      </c>
      <c r="Q54" s="2" t="s">
        <v>16</v>
      </c>
      <c r="R54" s="2" t="s">
        <v>16</v>
      </c>
      <c r="S54" s="2" t="s">
        <v>16</v>
      </c>
      <c r="T54" s="2" t="s">
        <v>16</v>
      </c>
      <c r="U54" s="37">
        <f t="shared" si="19"/>
        <v>1</v>
      </c>
      <c r="V54" s="34"/>
      <c r="W54" s="2" t="s">
        <v>16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 spans="1:86">
      <c r="A55" s="35" t="s">
        <v>89</v>
      </c>
      <c r="B55" s="1" t="s">
        <v>80</v>
      </c>
      <c r="C55" s="1" t="s">
        <v>80</v>
      </c>
      <c r="D55" s="1"/>
      <c r="E55" s="2" t="s">
        <v>37</v>
      </c>
      <c r="F55" s="2">
        <v>400</v>
      </c>
      <c r="G55" s="2" t="s">
        <v>38</v>
      </c>
      <c r="H55" s="2">
        <v>240</v>
      </c>
      <c r="I55" s="2">
        <v>2304</v>
      </c>
      <c r="J55" s="12">
        <f t="shared" si="20"/>
        <v>2304</v>
      </c>
      <c r="K55" s="5">
        <f t="shared" si="21"/>
        <v>2400</v>
      </c>
      <c r="L55" s="2">
        <v>1</v>
      </c>
      <c r="M55" s="37">
        <f t="shared" si="22"/>
        <v>1</v>
      </c>
      <c r="N55" s="2"/>
      <c r="O55" s="32"/>
      <c r="P55" s="32">
        <f t="shared" si="18"/>
        <v>2304</v>
      </c>
      <c r="Q55" s="2" t="s">
        <v>16</v>
      </c>
      <c r="R55" s="2" t="s">
        <v>16</v>
      </c>
      <c r="S55" s="2" t="s">
        <v>16</v>
      </c>
      <c r="T55" s="2" t="s">
        <v>16</v>
      </c>
      <c r="U55" s="37">
        <f t="shared" si="19"/>
        <v>1</v>
      </c>
      <c r="V55" s="34"/>
      <c r="W55" s="2" t="s">
        <v>16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 spans="1:86">
      <c r="A56" s="35" t="s">
        <v>89</v>
      </c>
      <c r="B56" s="1" t="s">
        <v>80</v>
      </c>
      <c r="C56" s="1" t="s">
        <v>80</v>
      </c>
      <c r="D56" s="1"/>
      <c r="E56" s="2" t="s">
        <v>37</v>
      </c>
      <c r="F56" s="2">
        <v>400</v>
      </c>
      <c r="G56" s="2" t="s">
        <v>38</v>
      </c>
      <c r="H56" s="2">
        <v>240</v>
      </c>
      <c r="I56" s="2">
        <v>2304</v>
      </c>
      <c r="J56" s="12">
        <f t="shared" si="20"/>
        <v>2304</v>
      </c>
      <c r="K56" s="5">
        <f t="shared" si="21"/>
        <v>2400</v>
      </c>
      <c r="L56" s="2">
        <v>1</v>
      </c>
      <c r="M56" s="37">
        <f t="shared" si="22"/>
        <v>1</v>
      </c>
      <c r="N56" s="2"/>
      <c r="O56" s="32"/>
      <c r="P56" s="32">
        <f t="shared" si="18"/>
        <v>2304</v>
      </c>
      <c r="Q56" s="2" t="s">
        <v>16</v>
      </c>
      <c r="R56" s="2" t="s">
        <v>16</v>
      </c>
      <c r="S56" s="2" t="s">
        <v>16</v>
      </c>
      <c r="T56" s="2" t="s">
        <v>16</v>
      </c>
      <c r="U56" s="37">
        <f t="shared" si="19"/>
        <v>1</v>
      </c>
      <c r="V56" s="34"/>
      <c r="W56" s="2" t="s">
        <v>16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 spans="1:86">
      <c r="A57" s="35" t="s">
        <v>89</v>
      </c>
      <c r="B57" s="1" t="s">
        <v>80</v>
      </c>
      <c r="C57" s="1" t="s">
        <v>80</v>
      </c>
      <c r="D57" s="1"/>
      <c r="E57" s="2" t="s">
        <v>37</v>
      </c>
      <c r="F57" s="2">
        <v>400</v>
      </c>
      <c r="G57" s="2" t="s">
        <v>38</v>
      </c>
      <c r="H57" s="2">
        <v>240</v>
      </c>
      <c r="I57" s="2">
        <v>1100</v>
      </c>
      <c r="J57" s="12">
        <f t="shared" si="20"/>
        <v>1100</v>
      </c>
      <c r="K57" s="5">
        <f t="shared" si="21"/>
        <v>1145.8333333333333</v>
      </c>
      <c r="L57" s="2">
        <v>1</v>
      </c>
      <c r="M57" s="37">
        <f t="shared" si="22"/>
        <v>1</v>
      </c>
      <c r="N57" s="2"/>
      <c r="O57" s="32"/>
      <c r="P57" s="32">
        <f t="shared" si="18"/>
        <v>1100</v>
      </c>
      <c r="Q57" s="2" t="s">
        <v>16</v>
      </c>
      <c r="R57" s="2" t="s">
        <v>16</v>
      </c>
      <c r="S57" s="2" t="s">
        <v>16</v>
      </c>
      <c r="T57" s="2" t="s">
        <v>16</v>
      </c>
      <c r="U57" s="37">
        <f t="shared" si="19"/>
        <v>1</v>
      </c>
      <c r="V57" s="34"/>
      <c r="W57" s="2" t="s">
        <v>16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  <row r="58" spans="1:86" ht="28.8">
      <c r="A58" s="35">
        <v>45780</v>
      </c>
      <c r="B58" s="1" t="s">
        <v>114</v>
      </c>
      <c r="C58" s="1" t="s">
        <v>114</v>
      </c>
      <c r="D58" s="1"/>
      <c r="E58" s="2" t="s">
        <v>29</v>
      </c>
      <c r="F58" s="2">
        <v>42</v>
      </c>
      <c r="G58" s="2" t="s">
        <v>115</v>
      </c>
      <c r="H58" s="2">
        <v>62</v>
      </c>
      <c r="I58" s="2">
        <v>650</v>
      </c>
      <c r="J58" s="12">
        <f t="shared" ref="J58:J80" si="23">IFERROR(IF(AND(V58=3,U58&gt;0),I58,I58*U58),"Verify")</f>
        <v>1300</v>
      </c>
      <c r="K58" s="5">
        <f t="shared" ref="K58:K80" si="24">+J58/(F58*H58*10^-5)</f>
        <v>49923.195084485407</v>
      </c>
      <c r="L58" s="2">
        <v>2</v>
      </c>
      <c r="M58" s="37">
        <f t="shared" ref="M58:M80" si="25">+L58-X58-Z58-AD58-AB58-AF58-AH58-AJ58-AL58-AO58-AQ58-AS58-AU58-AW58-AY58-BA58-BC58-BE58-BG58-BI58-BK58-BM58-BO58-BQ58-BS58-BU58-BW58-BY58-CA58-CC58-CE58-CG58</f>
        <v>2</v>
      </c>
      <c r="N58" s="2" t="s">
        <v>16</v>
      </c>
      <c r="O58" s="32"/>
      <c r="P58" s="32">
        <f t="shared" si="18"/>
        <v>1300</v>
      </c>
      <c r="Q58" s="2" t="s">
        <v>16</v>
      </c>
      <c r="R58" s="2" t="s">
        <v>16</v>
      </c>
      <c r="S58" s="2" t="s">
        <v>16</v>
      </c>
      <c r="T58" s="2" t="s">
        <v>116</v>
      </c>
      <c r="U58" s="37">
        <f t="shared" si="19"/>
        <v>2</v>
      </c>
      <c r="V58" s="34"/>
      <c r="W58" s="2" t="s">
        <v>16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 spans="1:86" ht="28.8">
      <c r="A59" s="35">
        <v>45780</v>
      </c>
      <c r="B59" s="1" t="s">
        <v>114</v>
      </c>
      <c r="C59" s="1" t="s">
        <v>114</v>
      </c>
      <c r="D59" s="1"/>
      <c r="E59" s="2" t="s">
        <v>29</v>
      </c>
      <c r="F59" s="2">
        <v>42</v>
      </c>
      <c r="G59" s="2" t="s">
        <v>115</v>
      </c>
      <c r="H59" s="2">
        <v>62</v>
      </c>
      <c r="I59" s="2">
        <v>650</v>
      </c>
      <c r="J59" s="12">
        <f t="shared" si="23"/>
        <v>6500</v>
      </c>
      <c r="K59" s="5">
        <f t="shared" si="24"/>
        <v>249615.97542242703</v>
      </c>
      <c r="L59" s="2">
        <v>10</v>
      </c>
      <c r="M59" s="37">
        <f t="shared" si="25"/>
        <v>10</v>
      </c>
      <c r="N59" s="2" t="s">
        <v>16</v>
      </c>
      <c r="O59" s="32"/>
      <c r="P59" s="32">
        <f t="shared" si="18"/>
        <v>6500</v>
      </c>
      <c r="Q59" s="2" t="s">
        <v>16</v>
      </c>
      <c r="R59" s="2" t="s">
        <v>16</v>
      </c>
      <c r="S59" s="2" t="s">
        <v>16</v>
      </c>
      <c r="T59" s="2" t="s">
        <v>116</v>
      </c>
      <c r="U59" s="37">
        <f t="shared" si="19"/>
        <v>10</v>
      </c>
      <c r="V59" s="34"/>
      <c r="W59" s="2" t="s">
        <v>16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spans="1:86" ht="28.8">
      <c r="A60" s="35">
        <v>45780</v>
      </c>
      <c r="B60" s="1" t="s">
        <v>117</v>
      </c>
      <c r="C60" s="1" t="s">
        <v>117</v>
      </c>
      <c r="D60" s="1"/>
      <c r="E60" s="2" t="s">
        <v>29</v>
      </c>
      <c r="F60" s="2">
        <v>76</v>
      </c>
      <c r="G60" s="2" t="s">
        <v>118</v>
      </c>
      <c r="H60" s="2">
        <v>73</v>
      </c>
      <c r="I60" s="2">
        <v>638.29999999999995</v>
      </c>
      <c r="J60" s="12">
        <f t="shared" si="23"/>
        <v>1276.5999999999999</v>
      </c>
      <c r="K60" s="5">
        <f t="shared" si="24"/>
        <v>23010.093727469357</v>
      </c>
      <c r="L60" s="2">
        <v>2</v>
      </c>
      <c r="M60" s="37">
        <f t="shared" si="25"/>
        <v>2</v>
      </c>
      <c r="N60" s="2" t="s">
        <v>16</v>
      </c>
      <c r="O60" s="32"/>
      <c r="P60" s="32">
        <f t="shared" si="18"/>
        <v>1276.5999999999999</v>
      </c>
      <c r="Q60" s="2" t="s">
        <v>16</v>
      </c>
      <c r="R60" s="2" t="s">
        <v>16</v>
      </c>
      <c r="S60" s="2" t="s">
        <v>16</v>
      </c>
      <c r="T60" s="2" t="s">
        <v>116</v>
      </c>
      <c r="U60" s="37">
        <f t="shared" si="19"/>
        <v>2</v>
      </c>
      <c r="V60" s="34"/>
      <c r="W60" s="2" t="s">
        <v>16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spans="1:86" ht="28.8">
      <c r="A61" s="35">
        <v>45811</v>
      </c>
      <c r="B61" s="1" t="s">
        <v>117</v>
      </c>
      <c r="C61" s="1" t="s">
        <v>117</v>
      </c>
      <c r="D61" s="1"/>
      <c r="E61" s="2" t="s">
        <v>29</v>
      </c>
      <c r="F61" s="2">
        <v>76</v>
      </c>
      <c r="G61" s="2" t="s">
        <v>118</v>
      </c>
      <c r="H61" s="2">
        <v>73</v>
      </c>
      <c r="I61" s="2">
        <v>638.29999999999995</v>
      </c>
      <c r="J61" s="12">
        <f t="shared" si="23"/>
        <v>3829.7999999999997</v>
      </c>
      <c r="K61" s="5">
        <f t="shared" si="24"/>
        <v>69030.281182408071</v>
      </c>
      <c r="L61" s="2">
        <v>6</v>
      </c>
      <c r="M61" s="37">
        <f t="shared" si="25"/>
        <v>6</v>
      </c>
      <c r="N61" s="2" t="s">
        <v>16</v>
      </c>
      <c r="O61" s="32"/>
      <c r="P61" s="32">
        <f t="shared" si="18"/>
        <v>3829.7999999999997</v>
      </c>
      <c r="Q61" s="2" t="s">
        <v>16</v>
      </c>
      <c r="R61" s="2" t="s">
        <v>16</v>
      </c>
      <c r="S61" s="2" t="s">
        <v>16</v>
      </c>
      <c r="T61" s="2" t="s">
        <v>116</v>
      </c>
      <c r="U61" s="37">
        <f t="shared" si="19"/>
        <v>6</v>
      </c>
      <c r="V61" s="34"/>
      <c r="W61" s="2" t="s">
        <v>16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 spans="1:86" ht="28.8">
      <c r="A62" s="35">
        <v>45811</v>
      </c>
      <c r="B62" s="1" t="s">
        <v>119</v>
      </c>
      <c r="C62" s="1" t="s">
        <v>119</v>
      </c>
      <c r="D62" s="1"/>
      <c r="E62" s="2" t="s">
        <v>29</v>
      </c>
      <c r="F62" s="2">
        <v>97</v>
      </c>
      <c r="G62" s="2" t="s">
        <v>120</v>
      </c>
      <c r="H62" s="2">
        <v>79</v>
      </c>
      <c r="I62" s="2">
        <v>659</v>
      </c>
      <c r="J62" s="12">
        <f t="shared" si="23"/>
        <v>1318</v>
      </c>
      <c r="K62" s="5">
        <f t="shared" si="24"/>
        <v>17199.530210100482</v>
      </c>
      <c r="L62" s="2">
        <v>2</v>
      </c>
      <c r="M62" s="37">
        <f t="shared" si="25"/>
        <v>2</v>
      </c>
      <c r="N62" s="2" t="s">
        <v>16</v>
      </c>
      <c r="O62" s="32"/>
      <c r="P62" s="32">
        <f t="shared" si="18"/>
        <v>1318</v>
      </c>
      <c r="Q62" s="2" t="s">
        <v>16</v>
      </c>
      <c r="R62" s="2" t="s">
        <v>16</v>
      </c>
      <c r="S62" s="2" t="s">
        <v>16</v>
      </c>
      <c r="T62" s="2" t="s">
        <v>116</v>
      </c>
      <c r="U62" s="37">
        <f t="shared" si="19"/>
        <v>2</v>
      </c>
      <c r="V62" s="34"/>
      <c r="W62" s="2" t="s">
        <v>16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spans="1:86" ht="28.8">
      <c r="A63" s="35">
        <v>45811</v>
      </c>
      <c r="B63" s="1" t="s">
        <v>119</v>
      </c>
      <c r="C63" s="1" t="s">
        <v>119</v>
      </c>
      <c r="D63" s="1"/>
      <c r="E63" s="2" t="s">
        <v>29</v>
      </c>
      <c r="F63" s="2">
        <v>97</v>
      </c>
      <c r="G63" s="2" t="s">
        <v>120</v>
      </c>
      <c r="H63" s="2">
        <v>79</v>
      </c>
      <c r="I63" s="2">
        <v>588</v>
      </c>
      <c r="J63" s="12">
        <f t="shared" si="23"/>
        <v>1176</v>
      </c>
      <c r="K63" s="5">
        <f t="shared" si="24"/>
        <v>15346.470050893906</v>
      </c>
      <c r="L63" s="2">
        <v>2</v>
      </c>
      <c r="M63" s="37">
        <f t="shared" si="25"/>
        <v>2</v>
      </c>
      <c r="N63" s="2" t="s">
        <v>16</v>
      </c>
      <c r="O63" s="32"/>
      <c r="P63" s="32">
        <f t="shared" si="18"/>
        <v>1176</v>
      </c>
      <c r="Q63" s="2" t="s">
        <v>16</v>
      </c>
      <c r="R63" s="2" t="s">
        <v>16</v>
      </c>
      <c r="S63" s="2" t="s">
        <v>16</v>
      </c>
      <c r="T63" s="2" t="s">
        <v>116</v>
      </c>
      <c r="U63" s="37">
        <f t="shared" si="19"/>
        <v>2</v>
      </c>
      <c r="V63" s="34"/>
      <c r="W63" s="2" t="s">
        <v>16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 spans="1:86">
      <c r="A64" s="35">
        <v>45811</v>
      </c>
      <c r="B64" s="1" t="s">
        <v>121</v>
      </c>
      <c r="C64" s="1" t="s">
        <v>121</v>
      </c>
      <c r="D64" s="1"/>
      <c r="E64" s="2" t="s">
        <v>29</v>
      </c>
      <c r="F64" s="2">
        <v>81.400000000000006</v>
      </c>
      <c r="G64" s="2" t="s">
        <v>122</v>
      </c>
      <c r="H64" s="2">
        <v>40.6</v>
      </c>
      <c r="I64" s="2">
        <v>450.5</v>
      </c>
      <c r="J64" s="12">
        <f t="shared" si="23"/>
        <v>1802</v>
      </c>
      <c r="K64" s="5">
        <f t="shared" si="24"/>
        <v>54526.089008847623</v>
      </c>
      <c r="L64" s="2">
        <v>4</v>
      </c>
      <c r="M64" s="37">
        <f t="shared" si="25"/>
        <v>4</v>
      </c>
      <c r="N64" s="2" t="s">
        <v>16</v>
      </c>
      <c r="O64" s="32"/>
      <c r="P64" s="32">
        <f t="shared" si="18"/>
        <v>1802</v>
      </c>
      <c r="Q64" s="2" t="s">
        <v>16</v>
      </c>
      <c r="R64" s="2" t="s">
        <v>16</v>
      </c>
      <c r="S64" s="2" t="s">
        <v>16</v>
      </c>
      <c r="T64" s="2" t="s">
        <v>16</v>
      </c>
      <c r="U64" s="37">
        <f t="shared" si="19"/>
        <v>4</v>
      </c>
      <c r="V64" s="34"/>
      <c r="W64" s="2" t="s">
        <v>16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 spans="1:86">
      <c r="A65" s="35">
        <v>45811</v>
      </c>
      <c r="B65" s="1" t="s">
        <v>119</v>
      </c>
      <c r="C65" s="1" t="s">
        <v>119</v>
      </c>
      <c r="D65" s="1"/>
      <c r="E65" s="2" t="s">
        <v>29</v>
      </c>
      <c r="F65" s="2">
        <v>97</v>
      </c>
      <c r="G65" s="2" t="s">
        <v>120</v>
      </c>
      <c r="H65" s="2">
        <v>79</v>
      </c>
      <c r="I65" s="2">
        <v>588</v>
      </c>
      <c r="J65" s="12">
        <f t="shared" si="23"/>
        <v>1176</v>
      </c>
      <c r="K65" s="5">
        <f t="shared" si="24"/>
        <v>15346.470050893906</v>
      </c>
      <c r="L65" s="2">
        <v>2</v>
      </c>
      <c r="M65" s="37">
        <f t="shared" si="25"/>
        <v>2</v>
      </c>
      <c r="N65" s="2" t="s">
        <v>16</v>
      </c>
      <c r="O65" s="32"/>
      <c r="P65" s="32">
        <f t="shared" si="18"/>
        <v>1176</v>
      </c>
      <c r="Q65" s="2" t="s">
        <v>16</v>
      </c>
      <c r="R65" s="2" t="s">
        <v>16</v>
      </c>
      <c r="S65" s="2" t="s">
        <v>16</v>
      </c>
      <c r="T65" s="2" t="s">
        <v>16</v>
      </c>
      <c r="U65" s="37">
        <f t="shared" si="19"/>
        <v>2</v>
      </c>
      <c r="V65" s="34"/>
      <c r="W65" s="2" t="s">
        <v>16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 spans="1:86">
      <c r="A66" s="35">
        <v>45811</v>
      </c>
      <c r="B66" s="1" t="s">
        <v>117</v>
      </c>
      <c r="C66" s="1" t="s">
        <v>117</v>
      </c>
      <c r="D66" s="1"/>
      <c r="E66" s="2" t="s">
        <v>29</v>
      </c>
      <c r="F66" s="2">
        <v>76</v>
      </c>
      <c r="G66" s="2" t="s">
        <v>118</v>
      </c>
      <c r="H66" s="2">
        <v>73</v>
      </c>
      <c r="I66" s="2">
        <v>638.29999999999995</v>
      </c>
      <c r="J66" s="12">
        <f t="shared" si="23"/>
        <v>638.29999999999995</v>
      </c>
      <c r="K66" s="5">
        <f t="shared" si="24"/>
        <v>11505.046863734678</v>
      </c>
      <c r="L66" s="2">
        <v>1</v>
      </c>
      <c r="M66" s="37">
        <f t="shared" si="25"/>
        <v>1</v>
      </c>
      <c r="N66" s="2" t="s">
        <v>16</v>
      </c>
      <c r="O66" s="32"/>
      <c r="P66" s="32">
        <f t="shared" si="18"/>
        <v>638.29999999999995</v>
      </c>
      <c r="Q66" s="2" t="s">
        <v>16</v>
      </c>
      <c r="R66" s="2" t="s">
        <v>16</v>
      </c>
      <c r="S66" s="2" t="s">
        <v>16</v>
      </c>
      <c r="T66" s="2" t="s">
        <v>16</v>
      </c>
      <c r="U66" s="37">
        <f t="shared" si="19"/>
        <v>1</v>
      </c>
      <c r="V66" s="34"/>
      <c r="W66" s="2" t="s">
        <v>16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</row>
    <row r="67" spans="1:86">
      <c r="A67" s="35">
        <v>45811</v>
      </c>
      <c r="B67" s="1" t="s">
        <v>119</v>
      </c>
      <c r="C67" s="1" t="s">
        <v>119</v>
      </c>
      <c r="D67" s="1"/>
      <c r="E67" s="2" t="s">
        <v>29</v>
      </c>
      <c r="F67" s="2">
        <v>97</v>
      </c>
      <c r="G67" s="2" t="s">
        <v>120</v>
      </c>
      <c r="H67" s="2">
        <v>79</v>
      </c>
      <c r="I67" s="2">
        <v>588</v>
      </c>
      <c r="J67" s="12">
        <f t="shared" si="23"/>
        <v>1176</v>
      </c>
      <c r="K67" s="5">
        <f t="shared" si="24"/>
        <v>15346.470050893906</v>
      </c>
      <c r="L67" s="2">
        <v>2</v>
      </c>
      <c r="M67" s="37">
        <f t="shared" si="25"/>
        <v>2</v>
      </c>
      <c r="N67" s="2" t="s">
        <v>16</v>
      </c>
      <c r="O67" s="32"/>
      <c r="P67" s="32">
        <f t="shared" si="18"/>
        <v>1176</v>
      </c>
      <c r="Q67" s="2" t="s">
        <v>16</v>
      </c>
      <c r="R67" s="2" t="s">
        <v>16</v>
      </c>
      <c r="S67" s="2" t="s">
        <v>16</v>
      </c>
      <c r="T67" s="2" t="s">
        <v>16</v>
      </c>
      <c r="U67" s="37">
        <f t="shared" si="19"/>
        <v>2</v>
      </c>
      <c r="V67" s="34"/>
      <c r="W67" s="2" t="s">
        <v>16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 spans="1:86">
      <c r="A68" s="35">
        <v>45811</v>
      </c>
      <c r="B68" s="1" t="s">
        <v>123</v>
      </c>
      <c r="C68" s="1" t="s">
        <v>123</v>
      </c>
      <c r="D68" s="1"/>
      <c r="E68" s="2" t="s">
        <v>29</v>
      </c>
      <c r="F68" s="2">
        <v>90</v>
      </c>
      <c r="G68" s="2" t="s">
        <v>118</v>
      </c>
      <c r="H68" s="2">
        <v>72</v>
      </c>
      <c r="I68" s="2">
        <v>650</v>
      </c>
      <c r="J68" s="12">
        <f t="shared" si="23"/>
        <v>2600</v>
      </c>
      <c r="K68" s="5">
        <f t="shared" si="24"/>
        <v>40123.456790123448</v>
      </c>
      <c r="L68" s="2">
        <v>4</v>
      </c>
      <c r="M68" s="37">
        <f t="shared" si="25"/>
        <v>4</v>
      </c>
      <c r="N68" s="2"/>
      <c r="O68" s="32"/>
      <c r="P68" s="32">
        <f t="shared" si="18"/>
        <v>2600</v>
      </c>
      <c r="Q68" s="2" t="s">
        <v>16</v>
      </c>
      <c r="R68" s="2" t="s">
        <v>16</v>
      </c>
      <c r="S68" s="2" t="s">
        <v>16</v>
      </c>
      <c r="T68" s="2" t="s">
        <v>16</v>
      </c>
      <c r="U68" s="37">
        <f t="shared" si="19"/>
        <v>4</v>
      </c>
      <c r="V68" s="34"/>
      <c r="W68" s="2" t="s">
        <v>16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 spans="1:86">
      <c r="A69" s="35">
        <v>45811</v>
      </c>
      <c r="B69" s="1" t="s">
        <v>121</v>
      </c>
      <c r="C69" s="1" t="s">
        <v>121</v>
      </c>
      <c r="D69" s="1"/>
      <c r="E69" s="2" t="s">
        <v>29</v>
      </c>
      <c r="F69" s="2">
        <v>81.400000000000006</v>
      </c>
      <c r="G69" s="2" t="s">
        <v>122</v>
      </c>
      <c r="H69" s="2">
        <v>40.6</v>
      </c>
      <c r="I69" s="2">
        <v>446</v>
      </c>
      <c r="J69" s="12">
        <f t="shared" si="23"/>
        <v>446</v>
      </c>
      <c r="K69" s="5">
        <f t="shared" si="24"/>
        <v>13495.358322944528</v>
      </c>
      <c r="L69" s="2">
        <v>1</v>
      </c>
      <c r="M69" s="37">
        <f t="shared" si="25"/>
        <v>1</v>
      </c>
      <c r="N69" s="2" t="s">
        <v>16</v>
      </c>
      <c r="O69" s="32"/>
      <c r="P69" s="32">
        <f t="shared" si="18"/>
        <v>446</v>
      </c>
      <c r="Q69" s="2" t="s">
        <v>16</v>
      </c>
      <c r="R69" s="2" t="s">
        <v>16</v>
      </c>
      <c r="S69" s="2" t="s">
        <v>16</v>
      </c>
      <c r="T69" s="2" t="s">
        <v>16</v>
      </c>
      <c r="U69" s="37">
        <f t="shared" si="19"/>
        <v>1</v>
      </c>
      <c r="V69" s="34"/>
      <c r="W69" s="2" t="s">
        <v>16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 spans="1:86">
      <c r="A70" s="35">
        <v>45811</v>
      </c>
      <c r="B70" s="1" t="s">
        <v>123</v>
      </c>
      <c r="C70" s="1" t="s">
        <v>123</v>
      </c>
      <c r="D70" s="1"/>
      <c r="E70" s="2" t="s">
        <v>29</v>
      </c>
      <c r="F70" s="2">
        <v>90</v>
      </c>
      <c r="G70" s="2" t="s">
        <v>124</v>
      </c>
      <c r="H70" s="2">
        <v>72</v>
      </c>
      <c r="I70" s="2">
        <v>650</v>
      </c>
      <c r="J70" s="12">
        <f t="shared" si="23"/>
        <v>6500</v>
      </c>
      <c r="K70" s="5">
        <f t="shared" si="24"/>
        <v>100308.64197530862</v>
      </c>
      <c r="L70" s="2">
        <v>10</v>
      </c>
      <c r="M70" s="37">
        <f t="shared" si="25"/>
        <v>10</v>
      </c>
      <c r="N70" s="2" t="s">
        <v>16</v>
      </c>
      <c r="O70" s="32"/>
      <c r="P70" s="32">
        <f t="shared" si="18"/>
        <v>6500</v>
      </c>
      <c r="Q70" s="2" t="s">
        <v>16</v>
      </c>
      <c r="R70" s="2" t="s">
        <v>16</v>
      </c>
      <c r="S70" s="2" t="s">
        <v>16</v>
      </c>
      <c r="T70" s="2" t="s">
        <v>16</v>
      </c>
      <c r="U70" s="37">
        <f t="shared" si="19"/>
        <v>10</v>
      </c>
      <c r="V70" s="34"/>
      <c r="W70" s="2" t="s">
        <v>16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 spans="1:86">
      <c r="A71" s="35">
        <v>45841</v>
      </c>
      <c r="B71" s="1" t="s">
        <v>125</v>
      </c>
      <c r="C71" s="1" t="s">
        <v>125</v>
      </c>
      <c r="D71" s="1"/>
      <c r="E71" s="2" t="s">
        <v>29</v>
      </c>
      <c r="F71" s="2">
        <v>81.400000000000006</v>
      </c>
      <c r="G71" s="2" t="s">
        <v>124</v>
      </c>
      <c r="H71" s="2">
        <v>77</v>
      </c>
      <c r="I71" s="2">
        <v>650</v>
      </c>
      <c r="J71" s="12">
        <f t="shared" si="23"/>
        <v>650</v>
      </c>
      <c r="K71" s="5">
        <f t="shared" si="24"/>
        <v>10370.46491591946</v>
      </c>
      <c r="L71" s="2">
        <v>1</v>
      </c>
      <c r="M71" s="37">
        <f t="shared" si="25"/>
        <v>1</v>
      </c>
      <c r="N71" s="2" t="s">
        <v>16</v>
      </c>
      <c r="O71" s="32"/>
      <c r="P71" s="32">
        <f t="shared" si="18"/>
        <v>650</v>
      </c>
      <c r="Q71" s="2" t="s">
        <v>16</v>
      </c>
      <c r="R71" s="2" t="s">
        <v>16</v>
      </c>
      <c r="S71" s="2" t="s">
        <v>16</v>
      </c>
      <c r="T71" s="2" t="s">
        <v>16</v>
      </c>
      <c r="U71" s="37">
        <f t="shared" si="19"/>
        <v>1</v>
      </c>
      <c r="V71" s="34"/>
      <c r="W71" s="2" t="s">
        <v>16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 spans="1:86">
      <c r="A72" s="35">
        <v>45841</v>
      </c>
      <c r="B72" s="1" t="s">
        <v>123</v>
      </c>
      <c r="C72" s="1" t="s">
        <v>123</v>
      </c>
      <c r="D72" s="1"/>
      <c r="E72" s="2" t="s">
        <v>29</v>
      </c>
      <c r="F72" s="2">
        <v>90</v>
      </c>
      <c r="G72" s="2" t="s">
        <v>124</v>
      </c>
      <c r="H72" s="2">
        <v>72</v>
      </c>
      <c r="I72" s="2">
        <v>650</v>
      </c>
      <c r="J72" s="12">
        <f t="shared" si="23"/>
        <v>650</v>
      </c>
      <c r="K72" s="5">
        <f t="shared" si="24"/>
        <v>10030.864197530862</v>
      </c>
      <c r="L72" s="2">
        <v>1</v>
      </c>
      <c r="M72" s="37">
        <f t="shared" si="25"/>
        <v>1</v>
      </c>
      <c r="N72" s="2" t="s">
        <v>16</v>
      </c>
      <c r="O72" s="32"/>
      <c r="P72" s="32">
        <f t="shared" si="18"/>
        <v>650</v>
      </c>
      <c r="Q72" s="2" t="s">
        <v>16</v>
      </c>
      <c r="R72" s="2" t="s">
        <v>16</v>
      </c>
      <c r="S72" s="2" t="s">
        <v>16</v>
      </c>
      <c r="T72" s="2" t="s">
        <v>16</v>
      </c>
      <c r="U72" s="37">
        <f t="shared" si="19"/>
        <v>1</v>
      </c>
      <c r="V72" s="34"/>
      <c r="W72" s="2" t="s">
        <v>16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 spans="1:86">
      <c r="A73" s="35">
        <v>45841</v>
      </c>
      <c r="B73" s="1" t="s">
        <v>126</v>
      </c>
      <c r="C73" s="1" t="s">
        <v>126</v>
      </c>
      <c r="D73" s="1"/>
      <c r="E73" s="2" t="s">
        <v>29</v>
      </c>
      <c r="F73" s="2">
        <v>90</v>
      </c>
      <c r="G73" s="2" t="s">
        <v>124</v>
      </c>
      <c r="H73" s="2">
        <v>88</v>
      </c>
      <c r="I73" s="2">
        <v>790</v>
      </c>
      <c r="J73" s="12">
        <f t="shared" si="23"/>
        <v>5530</v>
      </c>
      <c r="K73" s="5">
        <f t="shared" si="24"/>
        <v>69823.232323232311</v>
      </c>
      <c r="L73" s="2">
        <v>7</v>
      </c>
      <c r="M73" s="37">
        <f t="shared" si="25"/>
        <v>7</v>
      </c>
      <c r="N73" s="2" t="s">
        <v>16</v>
      </c>
      <c r="O73" s="32"/>
      <c r="P73" s="32">
        <f t="shared" si="18"/>
        <v>5530</v>
      </c>
      <c r="Q73" s="2" t="s">
        <v>16</v>
      </c>
      <c r="R73" s="2" t="s">
        <v>16</v>
      </c>
      <c r="S73" s="2" t="s">
        <v>16</v>
      </c>
      <c r="T73" s="2" t="s">
        <v>16</v>
      </c>
      <c r="U73" s="37">
        <f t="shared" si="19"/>
        <v>7</v>
      </c>
      <c r="V73" s="34"/>
      <c r="W73" s="2" t="s">
        <v>16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</row>
    <row r="74" spans="1:86">
      <c r="A74" s="35">
        <v>45841</v>
      </c>
      <c r="B74" s="1" t="s">
        <v>126</v>
      </c>
      <c r="C74" s="1" t="s">
        <v>126</v>
      </c>
      <c r="D74" s="1"/>
      <c r="E74" s="2" t="s">
        <v>29</v>
      </c>
      <c r="F74" s="2">
        <v>90</v>
      </c>
      <c r="G74" s="2" t="s">
        <v>124</v>
      </c>
      <c r="H74" s="2">
        <v>88</v>
      </c>
      <c r="I74" s="2">
        <v>790</v>
      </c>
      <c r="J74" s="12">
        <f t="shared" si="23"/>
        <v>5530</v>
      </c>
      <c r="K74" s="5">
        <f t="shared" si="24"/>
        <v>69823.232323232311</v>
      </c>
      <c r="L74" s="2">
        <v>7</v>
      </c>
      <c r="M74" s="37">
        <f t="shared" si="25"/>
        <v>7</v>
      </c>
      <c r="N74" s="2" t="s">
        <v>16</v>
      </c>
      <c r="O74" s="32"/>
      <c r="P74" s="32">
        <f t="shared" si="18"/>
        <v>5530</v>
      </c>
      <c r="Q74" s="2" t="s">
        <v>16</v>
      </c>
      <c r="R74" s="2" t="s">
        <v>16</v>
      </c>
      <c r="S74" s="2" t="s">
        <v>16</v>
      </c>
      <c r="T74" s="2" t="s">
        <v>16</v>
      </c>
      <c r="U74" s="37">
        <f t="shared" si="19"/>
        <v>7</v>
      </c>
      <c r="V74" s="34"/>
      <c r="W74" s="2" t="s">
        <v>16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 spans="1:86">
      <c r="A75" s="35">
        <v>45841</v>
      </c>
      <c r="B75" s="1" t="s">
        <v>123</v>
      </c>
      <c r="C75" s="1" t="s">
        <v>123</v>
      </c>
      <c r="D75" s="1"/>
      <c r="E75" s="2" t="s">
        <v>29</v>
      </c>
      <c r="F75" s="2">
        <v>90</v>
      </c>
      <c r="G75" s="2" t="s">
        <v>124</v>
      </c>
      <c r="H75" s="2">
        <v>72</v>
      </c>
      <c r="I75" s="2">
        <v>650</v>
      </c>
      <c r="J75" s="12">
        <f t="shared" si="23"/>
        <v>2600</v>
      </c>
      <c r="K75" s="5">
        <f t="shared" si="24"/>
        <v>40123.456790123448</v>
      </c>
      <c r="L75" s="2">
        <v>4</v>
      </c>
      <c r="M75" s="37">
        <f t="shared" si="25"/>
        <v>4</v>
      </c>
      <c r="N75" s="2" t="s">
        <v>16</v>
      </c>
      <c r="O75" s="32"/>
      <c r="P75" s="32">
        <f t="shared" si="18"/>
        <v>2600</v>
      </c>
      <c r="Q75" s="2" t="s">
        <v>16</v>
      </c>
      <c r="R75" s="2" t="s">
        <v>16</v>
      </c>
      <c r="S75" s="2" t="s">
        <v>16</v>
      </c>
      <c r="T75" s="2" t="s">
        <v>16</v>
      </c>
      <c r="U75" s="37">
        <f t="shared" si="19"/>
        <v>4</v>
      </c>
      <c r="V75" s="34"/>
      <c r="W75" s="2" t="s">
        <v>16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 spans="1:86">
      <c r="A76" s="35">
        <v>45841</v>
      </c>
      <c r="B76" s="1" t="s">
        <v>117</v>
      </c>
      <c r="C76" s="1" t="s">
        <v>117</v>
      </c>
      <c r="D76" s="1"/>
      <c r="E76" s="2" t="s">
        <v>29</v>
      </c>
      <c r="F76" s="2">
        <v>76</v>
      </c>
      <c r="G76" s="2" t="s">
        <v>124</v>
      </c>
      <c r="H76" s="2">
        <v>73</v>
      </c>
      <c r="I76" s="2">
        <v>638.29999999999995</v>
      </c>
      <c r="J76" s="12">
        <f t="shared" si="23"/>
        <v>638.29999999999995</v>
      </c>
      <c r="K76" s="5">
        <f t="shared" si="24"/>
        <v>11505.046863734678</v>
      </c>
      <c r="L76" s="2">
        <v>1</v>
      </c>
      <c r="M76" s="37">
        <f t="shared" si="25"/>
        <v>1</v>
      </c>
      <c r="N76" s="2" t="s">
        <v>16</v>
      </c>
      <c r="O76" s="32"/>
      <c r="P76" s="32">
        <f t="shared" si="18"/>
        <v>638.29999999999995</v>
      </c>
      <c r="Q76" s="2" t="s">
        <v>16</v>
      </c>
      <c r="R76" s="2" t="s">
        <v>16</v>
      </c>
      <c r="S76" s="2" t="s">
        <v>16</v>
      </c>
      <c r="T76" s="2" t="s">
        <v>16</v>
      </c>
      <c r="U76" s="37">
        <f t="shared" si="19"/>
        <v>1</v>
      </c>
      <c r="V76" s="34"/>
      <c r="W76" s="2" t="s">
        <v>16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 spans="1:86">
      <c r="A77" s="35">
        <v>45841</v>
      </c>
      <c r="B77" s="1" t="s">
        <v>32</v>
      </c>
      <c r="C77" s="1" t="s">
        <v>32</v>
      </c>
      <c r="D77" s="1"/>
      <c r="E77" s="2" t="s">
        <v>29</v>
      </c>
      <c r="F77" s="2">
        <v>97</v>
      </c>
      <c r="G77" s="2" t="s">
        <v>30</v>
      </c>
      <c r="H77" s="2">
        <v>123</v>
      </c>
      <c r="I77" s="2">
        <v>1026</v>
      </c>
      <c r="J77" s="12">
        <f t="shared" si="23"/>
        <v>6156</v>
      </c>
      <c r="K77" s="5">
        <f t="shared" si="24"/>
        <v>51596.680915262754</v>
      </c>
      <c r="L77" s="2">
        <v>6</v>
      </c>
      <c r="M77" s="37">
        <f t="shared" si="25"/>
        <v>6</v>
      </c>
      <c r="N77" s="2" t="s">
        <v>16</v>
      </c>
      <c r="O77" s="32"/>
      <c r="P77" s="32">
        <f t="shared" si="18"/>
        <v>6156</v>
      </c>
      <c r="Q77" s="2" t="s">
        <v>16</v>
      </c>
      <c r="R77" s="2" t="s">
        <v>16</v>
      </c>
      <c r="S77" s="2" t="s">
        <v>16</v>
      </c>
      <c r="T77" s="2" t="s">
        <v>16</v>
      </c>
      <c r="U77" s="37">
        <f t="shared" si="19"/>
        <v>6</v>
      </c>
      <c r="V77" s="34"/>
      <c r="W77" s="2" t="s">
        <v>16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86">
      <c r="A78" s="35">
        <v>45841</v>
      </c>
      <c r="B78" s="1" t="s">
        <v>123</v>
      </c>
      <c r="C78" s="1" t="s">
        <v>123</v>
      </c>
      <c r="D78" s="1"/>
      <c r="E78" s="2" t="s">
        <v>29</v>
      </c>
      <c r="F78" s="2">
        <v>90</v>
      </c>
      <c r="G78" s="2" t="s">
        <v>124</v>
      </c>
      <c r="H78" s="2">
        <v>72</v>
      </c>
      <c r="I78" s="2">
        <v>650</v>
      </c>
      <c r="J78" s="12">
        <f t="shared" si="23"/>
        <v>5200</v>
      </c>
      <c r="K78" s="5">
        <f t="shared" si="24"/>
        <v>80246.913580246895</v>
      </c>
      <c r="L78" s="2">
        <v>8</v>
      </c>
      <c r="M78" s="37">
        <f t="shared" si="25"/>
        <v>8</v>
      </c>
      <c r="N78" s="2" t="s">
        <v>16</v>
      </c>
      <c r="O78" s="32"/>
      <c r="P78" s="32">
        <f t="shared" si="18"/>
        <v>5200</v>
      </c>
      <c r="Q78" s="2" t="s">
        <v>16</v>
      </c>
      <c r="R78" s="2" t="s">
        <v>16</v>
      </c>
      <c r="S78" s="2" t="s">
        <v>16</v>
      </c>
      <c r="T78" s="2" t="s">
        <v>16</v>
      </c>
      <c r="U78" s="37">
        <f t="shared" si="19"/>
        <v>8</v>
      </c>
      <c r="V78" s="34"/>
      <c r="W78" s="2" t="s">
        <v>16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 spans="1:86">
      <c r="A79" s="35">
        <v>45841</v>
      </c>
      <c r="B79" s="1" t="s">
        <v>127</v>
      </c>
      <c r="C79" s="1" t="s">
        <v>128</v>
      </c>
      <c r="D79" s="1"/>
      <c r="E79" s="2" t="s">
        <v>29</v>
      </c>
      <c r="F79" s="2">
        <v>130</v>
      </c>
      <c r="G79" s="2" t="s">
        <v>47</v>
      </c>
      <c r="H79" s="2">
        <v>78</v>
      </c>
      <c r="I79" s="2">
        <v>608.4</v>
      </c>
      <c r="J79" s="12">
        <f t="shared" si="23"/>
        <v>608.4</v>
      </c>
      <c r="K79" s="5">
        <f t="shared" si="24"/>
        <v>5999.9999999999991</v>
      </c>
      <c r="L79" s="2">
        <v>6</v>
      </c>
      <c r="M79" s="37">
        <f t="shared" si="25"/>
        <v>1</v>
      </c>
      <c r="N79" s="2" t="s">
        <v>16</v>
      </c>
      <c r="O79" s="32"/>
      <c r="P79" s="32">
        <f t="shared" si="18"/>
        <v>608.4</v>
      </c>
      <c r="Q79" s="2" t="s">
        <v>16</v>
      </c>
      <c r="R79" s="2" t="s">
        <v>16</v>
      </c>
      <c r="S79" s="2" t="s">
        <v>16</v>
      </c>
      <c r="T79" s="2" t="s">
        <v>16</v>
      </c>
      <c r="U79" s="37">
        <f t="shared" si="19"/>
        <v>1</v>
      </c>
      <c r="V79" s="34"/>
      <c r="W79" s="2" t="s">
        <v>16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>
        <v>5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 spans="1:86">
      <c r="A80" s="35">
        <v>45841</v>
      </c>
      <c r="B80" s="1" t="s">
        <v>123</v>
      </c>
      <c r="C80" s="1" t="s">
        <v>123</v>
      </c>
      <c r="D80" s="1"/>
      <c r="E80" s="2" t="s">
        <v>29</v>
      </c>
      <c r="F80" s="2">
        <v>90</v>
      </c>
      <c r="G80" s="2" t="s">
        <v>118</v>
      </c>
      <c r="H80" s="2">
        <v>72</v>
      </c>
      <c r="I80" s="2">
        <v>650</v>
      </c>
      <c r="J80" s="12">
        <f t="shared" si="23"/>
        <v>1300</v>
      </c>
      <c r="K80" s="5">
        <f t="shared" si="24"/>
        <v>20061.728395061724</v>
      </c>
      <c r="L80" s="2">
        <v>2</v>
      </c>
      <c r="M80" s="37">
        <f t="shared" si="25"/>
        <v>2</v>
      </c>
      <c r="N80" s="2" t="s">
        <v>16</v>
      </c>
      <c r="O80" s="32"/>
      <c r="P80" s="32">
        <f t="shared" si="18"/>
        <v>1300</v>
      </c>
      <c r="Q80" s="2" t="s">
        <v>16</v>
      </c>
      <c r="R80" s="2" t="s">
        <v>16</v>
      </c>
      <c r="S80" s="2" t="s">
        <v>16</v>
      </c>
      <c r="T80" s="2" t="s">
        <v>16</v>
      </c>
      <c r="U80" s="37">
        <f t="shared" si="19"/>
        <v>2</v>
      </c>
      <c r="V80" s="34"/>
      <c r="W80" s="2" t="s">
        <v>16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</row>
    <row r="81" spans="1:86">
      <c r="A81" s="35">
        <v>45841</v>
      </c>
      <c r="B81" s="1" t="s">
        <v>127</v>
      </c>
      <c r="C81" s="1" t="s">
        <v>128</v>
      </c>
      <c r="D81" s="1"/>
      <c r="E81" s="2" t="s">
        <v>29</v>
      </c>
      <c r="F81" s="2">
        <v>130</v>
      </c>
      <c r="G81" s="2" t="s">
        <v>47</v>
      </c>
      <c r="H81" s="2">
        <v>78</v>
      </c>
      <c r="I81" s="2">
        <v>608.4</v>
      </c>
      <c r="J81" s="12">
        <f t="shared" ref="J81:J110" si="26">IFERROR(IF(AND(V81=3,U81&gt;0),I81,I81*U81),"Verify")</f>
        <v>608.4</v>
      </c>
      <c r="K81" s="5">
        <f t="shared" ref="K81:K110" si="27">+J81/(F81*H81*10^-5)</f>
        <v>5999.9999999999991</v>
      </c>
      <c r="L81" s="2">
        <v>8</v>
      </c>
      <c r="M81" s="37">
        <f t="shared" ref="M81:M110" si="28">+L81-X81-Z81-AD81-AB81-AF81-AH81-AJ81-AL81-AO81-AQ81-AS81-AU81-AW81-AY81-BA81-BC81-BE81-BG81-BI81-BK81-BM81-BO81-BQ81-BS81-BU81-BW81-BY81-CA81-CC81-CE81-CG81</f>
        <v>1</v>
      </c>
      <c r="N81" s="2" t="s">
        <v>16</v>
      </c>
      <c r="O81" s="32"/>
      <c r="P81" s="32">
        <f t="shared" si="18"/>
        <v>608.4</v>
      </c>
      <c r="Q81" s="2" t="s">
        <v>16</v>
      </c>
      <c r="R81" s="2" t="s">
        <v>16</v>
      </c>
      <c r="S81" s="2" t="s">
        <v>16</v>
      </c>
      <c r="T81" s="2" t="s">
        <v>16</v>
      </c>
      <c r="U81" s="37">
        <f t="shared" si="19"/>
        <v>1</v>
      </c>
      <c r="V81" s="34"/>
      <c r="W81" s="2" t="s">
        <v>16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>
        <v>7</v>
      </c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 spans="1:86">
      <c r="A82" s="35">
        <v>45872</v>
      </c>
      <c r="B82" s="1" t="s">
        <v>127</v>
      </c>
      <c r="C82" s="1" t="s">
        <v>128</v>
      </c>
      <c r="D82" s="1"/>
      <c r="E82" s="2" t="s">
        <v>29</v>
      </c>
      <c r="F82" s="2">
        <v>130</v>
      </c>
      <c r="G82" s="2" t="s">
        <v>47</v>
      </c>
      <c r="H82" s="2">
        <v>78</v>
      </c>
      <c r="I82" s="2">
        <v>608.4</v>
      </c>
      <c r="J82" s="12">
        <f t="shared" si="26"/>
        <v>7909.2</v>
      </c>
      <c r="K82" s="5">
        <f t="shared" si="27"/>
        <v>78000</v>
      </c>
      <c r="L82" s="2">
        <v>13</v>
      </c>
      <c r="M82" s="37">
        <f t="shared" si="28"/>
        <v>13</v>
      </c>
      <c r="N82" s="2" t="s">
        <v>16</v>
      </c>
      <c r="O82" s="32"/>
      <c r="P82" s="32">
        <f t="shared" si="18"/>
        <v>7909.2</v>
      </c>
      <c r="Q82" s="2" t="s">
        <v>16</v>
      </c>
      <c r="R82" s="2" t="s">
        <v>16</v>
      </c>
      <c r="S82" s="2" t="s">
        <v>16</v>
      </c>
      <c r="T82" s="2" t="s">
        <v>16</v>
      </c>
      <c r="U82" s="37">
        <f t="shared" si="19"/>
        <v>13</v>
      </c>
      <c r="V82" s="34"/>
      <c r="W82" s="2" t="s">
        <v>16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 spans="1:86">
      <c r="A83" s="35">
        <v>45872</v>
      </c>
      <c r="B83" s="1" t="s">
        <v>127</v>
      </c>
      <c r="C83" s="1" t="s">
        <v>128</v>
      </c>
      <c r="D83" s="1"/>
      <c r="E83" s="2" t="s">
        <v>29</v>
      </c>
      <c r="F83" s="2">
        <v>130</v>
      </c>
      <c r="G83" s="2" t="s">
        <v>47</v>
      </c>
      <c r="H83" s="2">
        <v>78</v>
      </c>
      <c r="I83" s="2">
        <v>608.4</v>
      </c>
      <c r="J83" s="12">
        <f t="shared" si="26"/>
        <v>7300.7999999999993</v>
      </c>
      <c r="K83" s="5">
        <f t="shared" si="27"/>
        <v>71999.999999999985</v>
      </c>
      <c r="L83" s="2">
        <v>12</v>
      </c>
      <c r="M83" s="37">
        <f t="shared" si="28"/>
        <v>12</v>
      </c>
      <c r="N83" s="2" t="s">
        <v>16</v>
      </c>
      <c r="O83" s="32"/>
      <c r="P83" s="32">
        <f t="shared" si="18"/>
        <v>7300.7999999999993</v>
      </c>
      <c r="Q83" s="2" t="s">
        <v>16</v>
      </c>
      <c r="R83" s="2" t="s">
        <v>16</v>
      </c>
      <c r="S83" s="2" t="s">
        <v>16</v>
      </c>
      <c r="T83" s="2" t="s">
        <v>16</v>
      </c>
      <c r="U83" s="37">
        <f t="shared" si="19"/>
        <v>12</v>
      </c>
      <c r="V83" s="34"/>
      <c r="W83" s="2" t="s">
        <v>16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</row>
    <row r="84" spans="1:86">
      <c r="A84" s="35">
        <v>45872</v>
      </c>
      <c r="B84" s="1" t="s">
        <v>129</v>
      </c>
      <c r="C84" s="1" t="s">
        <v>130</v>
      </c>
      <c r="D84" s="1"/>
      <c r="E84" s="2" t="s">
        <v>29</v>
      </c>
      <c r="F84" s="2">
        <v>130</v>
      </c>
      <c r="G84" s="2" t="s">
        <v>47</v>
      </c>
      <c r="H84" s="2">
        <v>83</v>
      </c>
      <c r="I84" s="2">
        <v>647.4</v>
      </c>
      <c r="J84" s="12">
        <f t="shared" si="26"/>
        <v>1942.1999999999998</v>
      </c>
      <c r="K84" s="5">
        <f t="shared" si="27"/>
        <v>17999.999999999996</v>
      </c>
      <c r="L84" s="2">
        <v>3</v>
      </c>
      <c r="M84" s="37">
        <f t="shared" si="28"/>
        <v>3</v>
      </c>
      <c r="N84" s="2" t="s">
        <v>16</v>
      </c>
      <c r="O84" s="32"/>
      <c r="P84" s="32">
        <f t="shared" si="18"/>
        <v>1942.1999999999998</v>
      </c>
      <c r="Q84" s="2" t="s">
        <v>16</v>
      </c>
      <c r="R84" s="2" t="s">
        <v>16</v>
      </c>
      <c r="S84" s="2" t="s">
        <v>16</v>
      </c>
      <c r="T84" s="2" t="s">
        <v>16</v>
      </c>
      <c r="U84" s="37">
        <f t="shared" si="19"/>
        <v>3</v>
      </c>
      <c r="V84" s="34"/>
      <c r="W84" s="2" t="s">
        <v>16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 spans="1:86">
      <c r="A85" s="35">
        <v>45872</v>
      </c>
      <c r="B85" s="1" t="s">
        <v>131</v>
      </c>
      <c r="C85" s="1" t="s">
        <v>132</v>
      </c>
      <c r="D85" s="1"/>
      <c r="E85" s="2" t="s">
        <v>29</v>
      </c>
      <c r="F85" s="2">
        <v>130</v>
      </c>
      <c r="G85" s="2" t="s">
        <v>47</v>
      </c>
      <c r="H85" s="2">
        <v>84</v>
      </c>
      <c r="I85" s="2">
        <v>655.20000000000005</v>
      </c>
      <c r="J85" s="12">
        <f t="shared" si="26"/>
        <v>1310.4000000000001</v>
      </c>
      <c r="K85" s="5">
        <f t="shared" si="27"/>
        <v>12000</v>
      </c>
      <c r="L85" s="2">
        <v>2</v>
      </c>
      <c r="M85" s="37">
        <f t="shared" si="28"/>
        <v>2</v>
      </c>
      <c r="N85" s="2" t="s">
        <v>16</v>
      </c>
      <c r="O85" s="32"/>
      <c r="P85" s="32">
        <f t="shared" si="18"/>
        <v>1310.4000000000001</v>
      </c>
      <c r="Q85" s="2" t="s">
        <v>16</v>
      </c>
      <c r="R85" s="2" t="s">
        <v>16</v>
      </c>
      <c r="S85" s="2" t="s">
        <v>16</v>
      </c>
      <c r="T85" s="2" t="s">
        <v>16</v>
      </c>
      <c r="U85" s="37">
        <f t="shared" si="19"/>
        <v>2</v>
      </c>
      <c r="V85" s="34"/>
      <c r="W85" s="2" t="s">
        <v>16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</row>
    <row r="86" spans="1:86">
      <c r="A86" s="35">
        <v>45872</v>
      </c>
      <c r="B86" s="1" t="s">
        <v>127</v>
      </c>
      <c r="C86" s="1" t="s">
        <v>128</v>
      </c>
      <c r="D86" s="1"/>
      <c r="E86" s="2" t="s">
        <v>29</v>
      </c>
      <c r="F86" s="2">
        <v>130</v>
      </c>
      <c r="G86" s="2" t="s">
        <v>47</v>
      </c>
      <c r="H86" s="2">
        <v>78</v>
      </c>
      <c r="I86" s="2">
        <v>608.4</v>
      </c>
      <c r="J86" s="12">
        <f t="shared" si="26"/>
        <v>1825.1999999999998</v>
      </c>
      <c r="K86" s="5">
        <f t="shared" si="27"/>
        <v>17999.999999999996</v>
      </c>
      <c r="L86" s="2">
        <v>6</v>
      </c>
      <c r="M86" s="37">
        <f t="shared" si="28"/>
        <v>3</v>
      </c>
      <c r="N86" s="2" t="s">
        <v>16</v>
      </c>
      <c r="O86" s="32"/>
      <c r="P86" s="32">
        <f t="shared" si="18"/>
        <v>1825.1999999999998</v>
      </c>
      <c r="Q86" s="2" t="s">
        <v>16</v>
      </c>
      <c r="R86" s="2" t="s">
        <v>16</v>
      </c>
      <c r="S86" s="2" t="s">
        <v>16</v>
      </c>
      <c r="T86" s="2" t="s">
        <v>16</v>
      </c>
      <c r="U86" s="37">
        <f t="shared" si="19"/>
        <v>3</v>
      </c>
      <c r="V86" s="34"/>
      <c r="W86" s="2" t="s">
        <v>16</v>
      </c>
      <c r="X86" s="2"/>
      <c r="Y86" s="2"/>
      <c r="Z86" s="2"/>
      <c r="AA86" s="2"/>
      <c r="AB86" s="2">
        <v>3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 spans="1:86" ht="28.8">
      <c r="A87" s="35">
        <v>45872</v>
      </c>
      <c r="B87" s="1" t="s">
        <v>133</v>
      </c>
      <c r="C87" s="1" t="s">
        <v>133</v>
      </c>
      <c r="D87" s="1"/>
      <c r="E87" s="2" t="s">
        <v>29</v>
      </c>
      <c r="F87" s="2">
        <v>130</v>
      </c>
      <c r="G87" s="2" t="s">
        <v>53</v>
      </c>
      <c r="H87" s="2">
        <v>82</v>
      </c>
      <c r="I87" s="2">
        <v>639.6</v>
      </c>
      <c r="J87" s="12">
        <f t="shared" si="26"/>
        <v>2558.4</v>
      </c>
      <c r="K87" s="5">
        <f t="shared" si="27"/>
        <v>23999.999999999996</v>
      </c>
      <c r="L87" s="2">
        <v>4</v>
      </c>
      <c r="M87" s="37">
        <f t="shared" si="28"/>
        <v>4</v>
      </c>
      <c r="N87" s="2" t="s">
        <v>16</v>
      </c>
      <c r="O87" s="32"/>
      <c r="P87" s="32">
        <f t="shared" si="18"/>
        <v>2558.4</v>
      </c>
      <c r="Q87" s="2" t="s">
        <v>16</v>
      </c>
      <c r="R87" s="2" t="s">
        <v>16</v>
      </c>
      <c r="S87" s="2" t="s">
        <v>16</v>
      </c>
      <c r="T87" s="2" t="s">
        <v>16</v>
      </c>
      <c r="U87" s="37">
        <f t="shared" si="19"/>
        <v>4</v>
      </c>
      <c r="V87" s="34"/>
      <c r="W87" s="2" t="s">
        <v>16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 spans="1:86" ht="28.8">
      <c r="A88" s="35">
        <v>45872</v>
      </c>
      <c r="B88" s="1" t="s">
        <v>134</v>
      </c>
      <c r="C88" s="1" t="s">
        <v>134</v>
      </c>
      <c r="D88" s="1"/>
      <c r="E88" s="2" t="s">
        <v>29</v>
      </c>
      <c r="F88" s="2">
        <v>130</v>
      </c>
      <c r="G88" s="2" t="s">
        <v>53</v>
      </c>
      <c r="H88" s="2">
        <v>87</v>
      </c>
      <c r="I88" s="2">
        <v>678.6</v>
      </c>
      <c r="J88" s="12">
        <f t="shared" si="26"/>
        <v>678.6</v>
      </c>
      <c r="K88" s="5">
        <f t="shared" si="27"/>
        <v>6000</v>
      </c>
      <c r="L88" s="2">
        <v>1</v>
      </c>
      <c r="M88" s="37">
        <f t="shared" si="28"/>
        <v>1</v>
      </c>
      <c r="N88" s="2" t="s">
        <v>16</v>
      </c>
      <c r="O88" s="32"/>
      <c r="P88" s="32">
        <f t="shared" si="18"/>
        <v>678.6</v>
      </c>
      <c r="Q88" s="2" t="s">
        <v>16</v>
      </c>
      <c r="R88" s="2" t="s">
        <v>16</v>
      </c>
      <c r="S88" s="2" t="s">
        <v>16</v>
      </c>
      <c r="T88" s="2" t="s">
        <v>16</v>
      </c>
      <c r="U88" s="37">
        <f t="shared" si="19"/>
        <v>1</v>
      </c>
      <c r="V88" s="34"/>
      <c r="W88" s="2" t="s">
        <v>16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 spans="1:86" ht="28.8">
      <c r="A89" s="35">
        <v>45872</v>
      </c>
      <c r="B89" s="1" t="s">
        <v>134</v>
      </c>
      <c r="C89" s="1" t="s">
        <v>134</v>
      </c>
      <c r="D89" s="1"/>
      <c r="E89" s="2" t="s">
        <v>29</v>
      </c>
      <c r="F89" s="2">
        <v>130</v>
      </c>
      <c r="G89" s="2" t="s">
        <v>53</v>
      </c>
      <c r="H89" s="2">
        <v>87</v>
      </c>
      <c r="I89" s="2">
        <v>678.6</v>
      </c>
      <c r="J89" s="12">
        <f t="shared" si="26"/>
        <v>2035.8000000000002</v>
      </c>
      <c r="K89" s="5">
        <f t="shared" si="27"/>
        <v>18000</v>
      </c>
      <c r="L89" s="2">
        <v>3</v>
      </c>
      <c r="M89" s="37">
        <f t="shared" si="28"/>
        <v>3</v>
      </c>
      <c r="N89" s="2" t="s">
        <v>16</v>
      </c>
      <c r="O89" s="32"/>
      <c r="P89" s="32">
        <f t="shared" si="18"/>
        <v>2035.8000000000002</v>
      </c>
      <c r="Q89" s="2" t="s">
        <v>16</v>
      </c>
      <c r="R89" s="2" t="s">
        <v>16</v>
      </c>
      <c r="S89" s="2" t="s">
        <v>16</v>
      </c>
      <c r="T89" s="2" t="s">
        <v>16</v>
      </c>
      <c r="U89" s="37">
        <f t="shared" si="19"/>
        <v>3</v>
      </c>
      <c r="V89" s="34"/>
      <c r="W89" s="2" t="s">
        <v>16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 spans="1:86">
      <c r="A90" s="35">
        <v>45872</v>
      </c>
      <c r="B90" s="1" t="s">
        <v>135</v>
      </c>
      <c r="C90" s="1" t="s">
        <v>136</v>
      </c>
      <c r="D90" s="1"/>
      <c r="E90" s="2" t="s">
        <v>29</v>
      </c>
      <c r="F90" s="2">
        <v>160</v>
      </c>
      <c r="G90" s="2" t="s">
        <v>47</v>
      </c>
      <c r="H90" s="2">
        <v>109</v>
      </c>
      <c r="I90" s="2">
        <v>872</v>
      </c>
      <c r="J90" s="12">
        <f t="shared" si="26"/>
        <v>3488</v>
      </c>
      <c r="K90" s="5">
        <f t="shared" si="27"/>
        <v>19999.999999999996</v>
      </c>
      <c r="L90" s="2">
        <v>4</v>
      </c>
      <c r="M90" s="37">
        <f t="shared" si="28"/>
        <v>4</v>
      </c>
      <c r="N90" s="2" t="s">
        <v>16</v>
      </c>
      <c r="O90" s="32"/>
      <c r="P90" s="32">
        <f t="shared" ref="P90:P117" si="29">+J90-O90</f>
        <v>3488</v>
      </c>
      <c r="Q90" s="2" t="s">
        <v>16</v>
      </c>
      <c r="R90" s="2" t="s">
        <v>16</v>
      </c>
      <c r="S90" s="2" t="s">
        <v>16</v>
      </c>
      <c r="T90" s="2" t="s">
        <v>16</v>
      </c>
      <c r="U90" s="37">
        <f t="shared" si="19"/>
        <v>4</v>
      </c>
      <c r="V90" s="34"/>
      <c r="W90" s="2" t="s">
        <v>16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 spans="1:86">
      <c r="A91" s="35">
        <v>45872</v>
      </c>
      <c r="B91" s="1" t="s">
        <v>135</v>
      </c>
      <c r="C91" s="1" t="s">
        <v>136</v>
      </c>
      <c r="D91" s="1"/>
      <c r="E91" s="2" t="s">
        <v>29</v>
      </c>
      <c r="F91" s="2">
        <v>160</v>
      </c>
      <c r="G91" s="2" t="s">
        <v>47</v>
      </c>
      <c r="H91" s="2">
        <v>109</v>
      </c>
      <c r="I91" s="2">
        <v>872</v>
      </c>
      <c r="J91" s="12">
        <f t="shared" si="26"/>
        <v>1744</v>
      </c>
      <c r="K91" s="5">
        <f t="shared" si="27"/>
        <v>9999.9999999999982</v>
      </c>
      <c r="L91" s="2">
        <v>2</v>
      </c>
      <c r="M91" s="37">
        <f t="shared" si="28"/>
        <v>2</v>
      </c>
      <c r="N91" s="2" t="s">
        <v>16</v>
      </c>
      <c r="O91" s="32"/>
      <c r="P91" s="32">
        <f t="shared" si="29"/>
        <v>1744</v>
      </c>
      <c r="Q91" s="2" t="s">
        <v>16</v>
      </c>
      <c r="R91" s="2" t="s">
        <v>16</v>
      </c>
      <c r="S91" s="2" t="s">
        <v>16</v>
      </c>
      <c r="T91" s="2" t="s">
        <v>16</v>
      </c>
      <c r="U91" s="37">
        <f t="shared" si="19"/>
        <v>2</v>
      </c>
      <c r="V91" s="34"/>
      <c r="W91" s="2" t="s">
        <v>16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 spans="1:86">
      <c r="A92" s="35">
        <v>45872</v>
      </c>
      <c r="B92" s="1" t="s">
        <v>135</v>
      </c>
      <c r="C92" s="1" t="s">
        <v>136</v>
      </c>
      <c r="D92" s="1"/>
      <c r="E92" s="2" t="s">
        <v>29</v>
      </c>
      <c r="F92" s="2">
        <v>160</v>
      </c>
      <c r="G92" s="2" t="s">
        <v>47</v>
      </c>
      <c r="H92" s="2">
        <v>109</v>
      </c>
      <c r="I92" s="2">
        <v>872</v>
      </c>
      <c r="J92" s="12">
        <f t="shared" si="26"/>
        <v>1744</v>
      </c>
      <c r="K92" s="5">
        <f t="shared" si="27"/>
        <v>9999.9999999999982</v>
      </c>
      <c r="L92" s="2">
        <v>2</v>
      </c>
      <c r="M92" s="37">
        <f t="shared" si="28"/>
        <v>2</v>
      </c>
      <c r="N92" s="2" t="s">
        <v>16</v>
      </c>
      <c r="O92" s="32"/>
      <c r="P92" s="32">
        <f t="shared" si="29"/>
        <v>1744</v>
      </c>
      <c r="Q92" s="2" t="s">
        <v>16</v>
      </c>
      <c r="R92" s="2" t="s">
        <v>16</v>
      </c>
      <c r="S92" s="2" t="s">
        <v>16</v>
      </c>
      <c r="T92" s="2" t="s">
        <v>16</v>
      </c>
      <c r="U92" s="37">
        <f t="shared" si="19"/>
        <v>2</v>
      </c>
      <c r="V92" s="34"/>
      <c r="W92" s="2" t="s">
        <v>16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 spans="1:86">
      <c r="A93" s="35">
        <v>45872</v>
      </c>
      <c r="B93" s="1" t="s">
        <v>129</v>
      </c>
      <c r="C93" s="1" t="s">
        <v>130</v>
      </c>
      <c r="D93" s="1"/>
      <c r="E93" s="2" t="s">
        <v>29</v>
      </c>
      <c r="F93" s="2">
        <v>130</v>
      </c>
      <c r="G93" s="2" t="s">
        <v>137</v>
      </c>
      <c r="H93" s="2">
        <v>83</v>
      </c>
      <c r="I93" s="2">
        <v>550</v>
      </c>
      <c r="J93" s="12">
        <f t="shared" si="26"/>
        <v>550</v>
      </c>
      <c r="K93" s="5">
        <f t="shared" si="27"/>
        <v>5097.3123262279887</v>
      </c>
      <c r="L93" s="2">
        <v>1</v>
      </c>
      <c r="M93" s="37">
        <f t="shared" si="28"/>
        <v>1</v>
      </c>
      <c r="N93" s="2" t="s">
        <v>16</v>
      </c>
      <c r="O93" s="32"/>
      <c r="P93" s="32">
        <f t="shared" si="29"/>
        <v>550</v>
      </c>
      <c r="Q93" s="2" t="s">
        <v>16</v>
      </c>
      <c r="R93" s="2" t="s">
        <v>16</v>
      </c>
      <c r="S93" s="2" t="s">
        <v>16</v>
      </c>
      <c r="T93" s="2" t="s">
        <v>16</v>
      </c>
      <c r="U93" s="37">
        <f t="shared" si="19"/>
        <v>1</v>
      </c>
      <c r="V93" s="34"/>
      <c r="W93" s="2" t="s">
        <v>16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 spans="1:86">
      <c r="A94" s="35">
        <v>45872</v>
      </c>
      <c r="B94" s="1" t="s">
        <v>129</v>
      </c>
      <c r="C94" s="1" t="s">
        <v>130</v>
      </c>
      <c r="D94" s="1"/>
      <c r="E94" s="2" t="s">
        <v>29</v>
      </c>
      <c r="F94" s="2">
        <v>130</v>
      </c>
      <c r="G94" s="2" t="s">
        <v>137</v>
      </c>
      <c r="H94" s="2">
        <v>83</v>
      </c>
      <c r="I94" s="2">
        <v>240</v>
      </c>
      <c r="J94" s="12">
        <f t="shared" si="26"/>
        <v>240</v>
      </c>
      <c r="K94" s="5">
        <f t="shared" si="27"/>
        <v>2224.2817423540314</v>
      </c>
      <c r="L94" s="2">
        <v>1</v>
      </c>
      <c r="M94" s="37">
        <f t="shared" si="28"/>
        <v>1</v>
      </c>
      <c r="N94" s="2" t="s">
        <v>16</v>
      </c>
      <c r="O94" s="32"/>
      <c r="P94" s="32">
        <f t="shared" si="29"/>
        <v>240</v>
      </c>
      <c r="Q94" s="2" t="s">
        <v>16</v>
      </c>
      <c r="R94" s="2" t="s">
        <v>16</v>
      </c>
      <c r="S94" s="2" t="s">
        <v>16</v>
      </c>
      <c r="T94" s="2" t="s">
        <v>16</v>
      </c>
      <c r="U94" s="37">
        <f t="shared" si="19"/>
        <v>1</v>
      </c>
      <c r="V94" s="34"/>
      <c r="W94" s="2" t="s">
        <v>16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</row>
    <row r="95" spans="1:86">
      <c r="A95" s="35">
        <v>45872</v>
      </c>
      <c r="B95" s="1" t="s">
        <v>138</v>
      </c>
      <c r="C95" s="1" t="s">
        <v>139</v>
      </c>
      <c r="D95" s="1"/>
      <c r="E95" s="2" t="s">
        <v>29</v>
      </c>
      <c r="F95" s="2">
        <v>160</v>
      </c>
      <c r="G95" s="2" t="s">
        <v>137</v>
      </c>
      <c r="H95" s="2">
        <v>54</v>
      </c>
      <c r="I95" s="2">
        <v>395</v>
      </c>
      <c r="J95" s="12">
        <f t="shared" si="26"/>
        <v>790</v>
      </c>
      <c r="K95" s="5">
        <f t="shared" si="27"/>
        <v>9143.5185185185182</v>
      </c>
      <c r="L95" s="2">
        <v>2</v>
      </c>
      <c r="M95" s="37">
        <f t="shared" si="28"/>
        <v>2</v>
      </c>
      <c r="N95" s="2" t="s">
        <v>16</v>
      </c>
      <c r="O95" s="32"/>
      <c r="P95" s="32">
        <f t="shared" si="29"/>
        <v>790</v>
      </c>
      <c r="Q95" s="2" t="s">
        <v>16</v>
      </c>
      <c r="R95" s="2" t="s">
        <v>16</v>
      </c>
      <c r="S95" s="2" t="s">
        <v>16</v>
      </c>
      <c r="T95" s="2" t="s">
        <v>16</v>
      </c>
      <c r="U95" s="37">
        <f t="shared" si="19"/>
        <v>2</v>
      </c>
      <c r="V95" s="34"/>
      <c r="W95" s="2" t="s">
        <v>16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</row>
    <row r="96" spans="1:86">
      <c r="A96" s="35">
        <v>45872</v>
      </c>
      <c r="B96" s="1" t="s">
        <v>138</v>
      </c>
      <c r="C96" s="1" t="s">
        <v>139</v>
      </c>
      <c r="D96" s="1"/>
      <c r="E96" s="2" t="s">
        <v>29</v>
      </c>
      <c r="F96" s="2">
        <v>160</v>
      </c>
      <c r="G96" s="2" t="s">
        <v>137</v>
      </c>
      <c r="H96" s="2">
        <v>54</v>
      </c>
      <c r="I96" s="2">
        <v>300</v>
      </c>
      <c r="J96" s="12">
        <f t="shared" si="26"/>
        <v>300</v>
      </c>
      <c r="K96" s="5">
        <f t="shared" si="27"/>
        <v>3472.2222222222222</v>
      </c>
      <c r="L96" s="2">
        <v>1</v>
      </c>
      <c r="M96" s="37">
        <f t="shared" si="28"/>
        <v>1</v>
      </c>
      <c r="N96" s="2" t="s">
        <v>16</v>
      </c>
      <c r="O96" s="32"/>
      <c r="P96" s="32">
        <f t="shared" si="29"/>
        <v>300</v>
      </c>
      <c r="Q96" s="2" t="s">
        <v>16</v>
      </c>
      <c r="R96" s="2" t="s">
        <v>16</v>
      </c>
      <c r="S96" s="2" t="s">
        <v>16</v>
      </c>
      <c r="T96" s="2" t="s">
        <v>16</v>
      </c>
      <c r="U96" s="37">
        <f t="shared" si="19"/>
        <v>1</v>
      </c>
      <c r="V96" s="34"/>
      <c r="W96" s="2" t="s">
        <v>16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 spans="1:86">
      <c r="A97" s="35">
        <v>45872</v>
      </c>
      <c r="B97" s="1" t="s">
        <v>138</v>
      </c>
      <c r="C97" s="1" t="s">
        <v>139</v>
      </c>
      <c r="D97" s="1"/>
      <c r="E97" s="2" t="s">
        <v>29</v>
      </c>
      <c r="F97" s="2">
        <v>160</v>
      </c>
      <c r="G97" s="2" t="s">
        <v>137</v>
      </c>
      <c r="H97" s="2">
        <v>54</v>
      </c>
      <c r="I97" s="2">
        <v>400</v>
      </c>
      <c r="J97" s="12">
        <f t="shared" si="26"/>
        <v>400</v>
      </c>
      <c r="K97" s="5">
        <f t="shared" si="27"/>
        <v>4629.6296296296296</v>
      </c>
      <c r="L97" s="2">
        <v>1</v>
      </c>
      <c r="M97" s="37">
        <f t="shared" si="28"/>
        <v>1</v>
      </c>
      <c r="N97" s="2" t="s">
        <v>16</v>
      </c>
      <c r="O97" s="32"/>
      <c r="P97" s="32">
        <f t="shared" si="29"/>
        <v>400</v>
      </c>
      <c r="Q97" s="2" t="s">
        <v>16</v>
      </c>
      <c r="R97" s="2" t="s">
        <v>16</v>
      </c>
      <c r="S97" s="2" t="s">
        <v>16</v>
      </c>
      <c r="T97" s="2" t="s">
        <v>16</v>
      </c>
      <c r="U97" s="37">
        <f t="shared" si="19"/>
        <v>1</v>
      </c>
      <c r="V97" s="34"/>
      <c r="W97" s="2" t="s">
        <v>16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spans="1:86">
      <c r="A98" s="35">
        <v>45872</v>
      </c>
      <c r="B98" s="1" t="s">
        <v>140</v>
      </c>
      <c r="C98" s="1" t="s">
        <v>141</v>
      </c>
      <c r="D98" s="1"/>
      <c r="E98" s="2" t="s">
        <v>29</v>
      </c>
      <c r="F98" s="2">
        <v>137</v>
      </c>
      <c r="G98" s="2" t="s">
        <v>30</v>
      </c>
      <c r="H98" s="2">
        <v>83</v>
      </c>
      <c r="I98" s="2">
        <v>682</v>
      </c>
      <c r="J98" s="12">
        <f t="shared" si="26"/>
        <v>4774</v>
      </c>
      <c r="K98" s="5">
        <f t="shared" si="27"/>
        <v>41983.994371647168</v>
      </c>
      <c r="L98" s="2">
        <v>7</v>
      </c>
      <c r="M98" s="37">
        <f t="shared" si="28"/>
        <v>7</v>
      </c>
      <c r="N98" s="2" t="s">
        <v>16</v>
      </c>
      <c r="O98" s="32"/>
      <c r="P98" s="32">
        <f t="shared" si="29"/>
        <v>4774</v>
      </c>
      <c r="Q98" s="2" t="s">
        <v>16</v>
      </c>
      <c r="R98" s="2" t="s">
        <v>16</v>
      </c>
      <c r="S98" s="2" t="s">
        <v>16</v>
      </c>
      <c r="T98" s="2" t="s">
        <v>16</v>
      </c>
      <c r="U98" s="37">
        <f t="shared" si="19"/>
        <v>7</v>
      </c>
      <c r="V98" s="34"/>
      <c r="W98" s="2" t="s">
        <v>16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</row>
    <row r="99" spans="1:86">
      <c r="A99" s="35">
        <v>45872</v>
      </c>
      <c r="B99" s="1" t="s">
        <v>138</v>
      </c>
      <c r="C99" s="1" t="s">
        <v>139</v>
      </c>
      <c r="D99" s="1"/>
      <c r="E99" s="2" t="s">
        <v>29</v>
      </c>
      <c r="F99" s="2">
        <v>160</v>
      </c>
      <c r="G99" s="2" t="s">
        <v>137</v>
      </c>
      <c r="H99" s="2">
        <v>54</v>
      </c>
      <c r="I99" s="2">
        <v>470</v>
      </c>
      <c r="J99" s="12">
        <f t="shared" si="26"/>
        <v>1880</v>
      </c>
      <c r="K99" s="5">
        <f t="shared" si="27"/>
        <v>21759.259259259259</v>
      </c>
      <c r="L99" s="2">
        <v>4</v>
      </c>
      <c r="M99" s="37">
        <f t="shared" si="28"/>
        <v>4</v>
      </c>
      <c r="N99" s="2" t="s">
        <v>16</v>
      </c>
      <c r="O99" s="32"/>
      <c r="P99" s="32">
        <f t="shared" si="29"/>
        <v>1880</v>
      </c>
      <c r="Q99" s="2" t="s">
        <v>16</v>
      </c>
      <c r="R99" s="2" t="s">
        <v>16</v>
      </c>
      <c r="S99" s="2" t="s">
        <v>16</v>
      </c>
      <c r="T99" s="2" t="s">
        <v>16</v>
      </c>
      <c r="U99" s="37">
        <f t="shared" ref="U99:U142" si="30">+L99-X99-Z99-AD99-AB99-AF99-AH99-AJ99-AL99-AO99-AQ99-AS99-AU99-AW99-AY99-BA99-BC99-BE99-BG99-BI99-BK99-BM99-BO99-BQ99-BS99-BU99-BW99-BY99-CA99-CC99-CE99-CG99</f>
        <v>4</v>
      </c>
      <c r="V99" s="34"/>
      <c r="W99" s="2" t="s">
        <v>16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spans="1:86">
      <c r="A100" s="35">
        <v>45872</v>
      </c>
      <c r="B100" s="1" t="s">
        <v>140</v>
      </c>
      <c r="C100" s="1" t="s">
        <v>141</v>
      </c>
      <c r="D100" s="1"/>
      <c r="E100" s="2" t="s">
        <v>29</v>
      </c>
      <c r="F100" s="2">
        <v>137</v>
      </c>
      <c r="G100" s="2" t="s">
        <v>30</v>
      </c>
      <c r="H100" s="2">
        <v>83</v>
      </c>
      <c r="I100" s="2">
        <v>682</v>
      </c>
      <c r="J100" s="12">
        <f t="shared" si="26"/>
        <v>682</v>
      </c>
      <c r="K100" s="5">
        <f t="shared" si="27"/>
        <v>5997.7134816638818</v>
      </c>
      <c r="L100" s="2">
        <v>1</v>
      </c>
      <c r="M100" s="37">
        <f t="shared" si="28"/>
        <v>1</v>
      </c>
      <c r="N100" s="2" t="s">
        <v>16</v>
      </c>
      <c r="O100" s="32"/>
      <c r="P100" s="32">
        <f t="shared" si="29"/>
        <v>682</v>
      </c>
      <c r="Q100" s="2" t="s">
        <v>16</v>
      </c>
      <c r="R100" s="2" t="s">
        <v>16</v>
      </c>
      <c r="S100" s="2" t="s">
        <v>16</v>
      </c>
      <c r="T100" s="2" t="s">
        <v>16</v>
      </c>
      <c r="U100" s="37">
        <f t="shared" si="30"/>
        <v>1</v>
      </c>
      <c r="V100" s="34"/>
      <c r="W100" s="2" t="s">
        <v>16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 spans="1:86">
      <c r="A101" s="35">
        <v>45872</v>
      </c>
      <c r="B101" s="1" t="s">
        <v>142</v>
      </c>
      <c r="C101" s="1" t="s">
        <v>142</v>
      </c>
      <c r="D101" s="1" t="s">
        <v>143</v>
      </c>
      <c r="E101" s="2" t="s">
        <v>29</v>
      </c>
      <c r="F101" s="2">
        <v>160</v>
      </c>
      <c r="G101" s="2" t="s">
        <v>137</v>
      </c>
      <c r="H101" s="2">
        <v>112</v>
      </c>
      <c r="I101" s="2">
        <v>506</v>
      </c>
      <c r="J101" s="12">
        <f t="shared" si="26"/>
        <v>506</v>
      </c>
      <c r="K101" s="5">
        <f t="shared" si="27"/>
        <v>2823.6607142857138</v>
      </c>
      <c r="L101" s="2">
        <v>1</v>
      </c>
      <c r="M101" s="37">
        <f t="shared" si="28"/>
        <v>1</v>
      </c>
      <c r="N101" s="2" t="s">
        <v>144</v>
      </c>
      <c r="O101" s="32">
        <f>J101</f>
        <v>506</v>
      </c>
      <c r="P101" s="32">
        <f t="shared" si="29"/>
        <v>0</v>
      </c>
      <c r="Q101" s="2" t="s">
        <v>16</v>
      </c>
      <c r="R101" s="2" t="s">
        <v>16</v>
      </c>
      <c r="S101" s="2" t="s">
        <v>16</v>
      </c>
      <c r="T101" s="2" t="s">
        <v>16</v>
      </c>
      <c r="U101" s="37">
        <f t="shared" si="30"/>
        <v>1</v>
      </c>
      <c r="V101" s="34"/>
      <c r="W101" s="2" t="s">
        <v>16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spans="1:86">
      <c r="A102" s="35">
        <v>45933</v>
      </c>
      <c r="B102" s="1" t="s">
        <v>129</v>
      </c>
      <c r="C102" s="1" t="s">
        <v>130</v>
      </c>
      <c r="D102" s="1"/>
      <c r="E102" s="2" t="s">
        <v>29</v>
      </c>
      <c r="F102" s="2">
        <v>130</v>
      </c>
      <c r="G102" s="2" t="s">
        <v>137</v>
      </c>
      <c r="H102" s="2">
        <v>83</v>
      </c>
      <c r="I102" s="2">
        <v>430</v>
      </c>
      <c r="J102" s="12">
        <f t="shared" si="26"/>
        <v>430</v>
      </c>
      <c r="K102" s="5">
        <f t="shared" si="27"/>
        <v>3985.1714550509728</v>
      </c>
      <c r="L102" s="2">
        <v>1</v>
      </c>
      <c r="M102" s="37">
        <f t="shared" si="28"/>
        <v>1</v>
      </c>
      <c r="N102" s="2" t="s">
        <v>16</v>
      </c>
      <c r="O102" s="32"/>
      <c r="P102" s="32">
        <f t="shared" si="29"/>
        <v>430</v>
      </c>
      <c r="Q102" s="2" t="s">
        <v>16</v>
      </c>
      <c r="R102" s="2" t="s">
        <v>16</v>
      </c>
      <c r="S102" s="2" t="s">
        <v>16</v>
      </c>
      <c r="T102" s="2" t="s">
        <v>16</v>
      </c>
      <c r="U102" s="37">
        <f t="shared" si="30"/>
        <v>1</v>
      </c>
      <c r="V102" s="34"/>
      <c r="W102" s="2" t="s">
        <v>16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</row>
    <row r="103" spans="1:86">
      <c r="A103" s="35" t="s">
        <v>145</v>
      </c>
      <c r="B103" s="1" t="s">
        <v>146</v>
      </c>
      <c r="C103" s="1" t="s">
        <v>146</v>
      </c>
      <c r="D103" s="1"/>
      <c r="E103" s="2" t="s">
        <v>37</v>
      </c>
      <c r="F103" s="2">
        <v>400</v>
      </c>
      <c r="G103" s="2" t="s">
        <v>55</v>
      </c>
      <c r="H103" s="2">
        <v>48</v>
      </c>
      <c r="I103" s="2">
        <v>432</v>
      </c>
      <c r="J103" s="12">
        <f t="shared" si="26"/>
        <v>1296</v>
      </c>
      <c r="K103" s="5">
        <f t="shared" si="27"/>
        <v>6750</v>
      </c>
      <c r="L103" s="2">
        <v>3</v>
      </c>
      <c r="M103" s="37">
        <f t="shared" si="28"/>
        <v>3</v>
      </c>
      <c r="N103" s="2" t="s">
        <v>16</v>
      </c>
      <c r="O103" s="32"/>
      <c r="P103" s="32">
        <f t="shared" si="29"/>
        <v>1296</v>
      </c>
      <c r="Q103" s="2" t="s">
        <v>16</v>
      </c>
      <c r="R103" s="2" t="s">
        <v>16</v>
      </c>
      <c r="S103" s="2" t="s">
        <v>16</v>
      </c>
      <c r="T103" s="2" t="s">
        <v>16</v>
      </c>
      <c r="U103" s="37">
        <f t="shared" si="30"/>
        <v>3</v>
      </c>
      <c r="V103" s="34"/>
      <c r="W103" s="2" t="s">
        <v>16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</row>
    <row r="104" spans="1:86">
      <c r="A104" s="35" t="s">
        <v>145</v>
      </c>
      <c r="B104" s="1" t="s">
        <v>147</v>
      </c>
      <c r="C104" s="1" t="s">
        <v>147</v>
      </c>
      <c r="D104" s="1"/>
      <c r="E104" s="2" t="s">
        <v>37</v>
      </c>
      <c r="F104" s="2">
        <v>300</v>
      </c>
      <c r="G104" s="2" t="s">
        <v>55</v>
      </c>
      <c r="H104" s="2">
        <v>51</v>
      </c>
      <c r="I104" s="2">
        <v>364</v>
      </c>
      <c r="J104" s="12">
        <f t="shared" si="26"/>
        <v>364</v>
      </c>
      <c r="K104" s="5">
        <f t="shared" si="27"/>
        <v>2379.0849673202611</v>
      </c>
      <c r="L104" s="2">
        <v>1</v>
      </c>
      <c r="M104" s="37">
        <f t="shared" si="28"/>
        <v>1</v>
      </c>
      <c r="N104" s="2" t="s">
        <v>16</v>
      </c>
      <c r="O104" s="32"/>
      <c r="P104" s="32">
        <f t="shared" si="29"/>
        <v>364</v>
      </c>
      <c r="Q104" s="2" t="s">
        <v>16</v>
      </c>
      <c r="R104" s="2" t="s">
        <v>16</v>
      </c>
      <c r="S104" s="2" t="s">
        <v>16</v>
      </c>
      <c r="T104" s="2" t="s">
        <v>16</v>
      </c>
      <c r="U104" s="37">
        <f t="shared" si="30"/>
        <v>1</v>
      </c>
      <c r="V104" s="34"/>
      <c r="W104" s="2" t="s">
        <v>16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</row>
    <row r="105" spans="1:86">
      <c r="A105" s="35" t="s">
        <v>145</v>
      </c>
      <c r="B105" s="1" t="s">
        <v>148</v>
      </c>
      <c r="C105" s="1" t="s">
        <v>148</v>
      </c>
      <c r="D105" s="1"/>
      <c r="E105" s="2" t="s">
        <v>37</v>
      </c>
      <c r="F105" s="2">
        <v>300</v>
      </c>
      <c r="G105" s="2" t="s">
        <v>55</v>
      </c>
      <c r="H105" s="2">
        <v>54.5</v>
      </c>
      <c r="I105" s="2">
        <v>486</v>
      </c>
      <c r="J105" s="12">
        <f t="shared" si="26"/>
        <v>486</v>
      </c>
      <c r="K105" s="5">
        <f t="shared" si="27"/>
        <v>2972.4770642201834</v>
      </c>
      <c r="L105" s="2">
        <v>1</v>
      </c>
      <c r="M105" s="37">
        <f t="shared" si="28"/>
        <v>1</v>
      </c>
      <c r="N105" s="2" t="s">
        <v>16</v>
      </c>
      <c r="O105" s="32"/>
      <c r="P105" s="32">
        <f t="shared" si="29"/>
        <v>486</v>
      </c>
      <c r="Q105" s="2" t="s">
        <v>16</v>
      </c>
      <c r="R105" s="2" t="s">
        <v>16</v>
      </c>
      <c r="S105" s="2" t="s">
        <v>16</v>
      </c>
      <c r="T105" s="2" t="s">
        <v>16</v>
      </c>
      <c r="U105" s="37">
        <f t="shared" si="30"/>
        <v>1</v>
      </c>
      <c r="V105" s="34"/>
      <c r="W105" s="2" t="s">
        <v>16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 spans="1:86">
      <c r="A106" s="35" t="s">
        <v>145</v>
      </c>
      <c r="B106" s="1" t="s">
        <v>149</v>
      </c>
      <c r="C106" s="1" t="s">
        <v>149</v>
      </c>
      <c r="D106" s="1"/>
      <c r="E106" s="2" t="s">
        <v>37</v>
      </c>
      <c r="F106" s="2">
        <v>300</v>
      </c>
      <c r="G106" s="2" t="s">
        <v>55</v>
      </c>
      <c r="H106" s="2">
        <v>79</v>
      </c>
      <c r="I106" s="2">
        <v>647.6</v>
      </c>
      <c r="J106" s="12">
        <f t="shared" si="26"/>
        <v>1942.8000000000002</v>
      </c>
      <c r="K106" s="5">
        <f t="shared" si="27"/>
        <v>8197.4683544303807</v>
      </c>
      <c r="L106" s="2">
        <v>3</v>
      </c>
      <c r="M106" s="37">
        <f t="shared" si="28"/>
        <v>3</v>
      </c>
      <c r="N106" s="2" t="s">
        <v>56</v>
      </c>
      <c r="O106" s="32">
        <f>J106</f>
        <v>1942.8000000000002</v>
      </c>
      <c r="P106" s="32">
        <f t="shared" si="29"/>
        <v>0</v>
      </c>
      <c r="Q106" s="2" t="s">
        <v>16</v>
      </c>
      <c r="R106" s="2" t="s">
        <v>16</v>
      </c>
      <c r="S106" s="2" t="s">
        <v>16</v>
      </c>
      <c r="T106" s="2" t="s">
        <v>16</v>
      </c>
      <c r="U106" s="37">
        <f t="shared" si="30"/>
        <v>3</v>
      </c>
      <c r="V106" s="34"/>
      <c r="W106" s="2" t="s">
        <v>16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</row>
    <row r="107" spans="1:86">
      <c r="A107" s="35" t="s">
        <v>150</v>
      </c>
      <c r="B107" s="1" t="s">
        <v>151</v>
      </c>
      <c r="C107" s="1" t="s">
        <v>151</v>
      </c>
      <c r="D107" s="1"/>
      <c r="E107" s="2" t="s">
        <v>37</v>
      </c>
      <c r="F107" s="2">
        <v>240</v>
      </c>
      <c r="G107" s="2" t="s">
        <v>55</v>
      </c>
      <c r="H107" s="2">
        <v>45</v>
      </c>
      <c r="I107" s="2">
        <v>407</v>
      </c>
      <c r="J107" s="12">
        <f t="shared" si="26"/>
        <v>2849</v>
      </c>
      <c r="K107" s="5">
        <f t="shared" si="27"/>
        <v>26379.629629629628</v>
      </c>
      <c r="L107" s="2">
        <v>7</v>
      </c>
      <c r="M107" s="37">
        <f t="shared" si="28"/>
        <v>7</v>
      </c>
      <c r="N107" s="2" t="s">
        <v>16</v>
      </c>
      <c r="O107" s="32"/>
      <c r="P107" s="32">
        <f t="shared" si="29"/>
        <v>2849</v>
      </c>
      <c r="Q107" s="2" t="s">
        <v>16</v>
      </c>
      <c r="R107" s="2" t="s">
        <v>16</v>
      </c>
      <c r="S107" s="2" t="s">
        <v>16</v>
      </c>
      <c r="T107" s="2" t="s">
        <v>16</v>
      </c>
      <c r="U107" s="37">
        <f t="shared" si="30"/>
        <v>7</v>
      </c>
      <c r="V107" s="34"/>
      <c r="W107" s="2" t="s">
        <v>16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</row>
    <row r="108" spans="1:86">
      <c r="A108" s="35" t="s">
        <v>150</v>
      </c>
      <c r="B108" s="1" t="s">
        <v>152</v>
      </c>
      <c r="C108" s="1" t="s">
        <v>152</v>
      </c>
      <c r="D108" s="1"/>
      <c r="E108" s="2" t="s">
        <v>37</v>
      </c>
      <c r="F108" s="2">
        <v>260</v>
      </c>
      <c r="G108" s="2" t="s">
        <v>55</v>
      </c>
      <c r="H108" s="2">
        <v>96</v>
      </c>
      <c r="I108" s="2">
        <v>1200</v>
      </c>
      <c r="J108" s="12">
        <f t="shared" si="26"/>
        <v>1200</v>
      </c>
      <c r="K108" s="5">
        <f t="shared" si="27"/>
        <v>4807.6923076923076</v>
      </c>
      <c r="L108" s="2">
        <v>1</v>
      </c>
      <c r="M108" s="37">
        <f t="shared" si="28"/>
        <v>1</v>
      </c>
      <c r="N108" s="2" t="s">
        <v>16</v>
      </c>
      <c r="O108" s="32"/>
      <c r="P108" s="32">
        <f t="shared" si="29"/>
        <v>1200</v>
      </c>
      <c r="Q108" s="2" t="s">
        <v>16</v>
      </c>
      <c r="R108" s="2" t="s">
        <v>16</v>
      </c>
      <c r="S108" s="2" t="s">
        <v>16</v>
      </c>
      <c r="T108" s="2" t="s">
        <v>16</v>
      </c>
      <c r="U108" s="37">
        <f t="shared" si="30"/>
        <v>1</v>
      </c>
      <c r="V108" s="34"/>
      <c r="W108" s="2" t="s">
        <v>16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</row>
    <row r="109" spans="1:86">
      <c r="A109" s="35" t="s">
        <v>150</v>
      </c>
      <c r="B109" s="1" t="s">
        <v>153</v>
      </c>
      <c r="C109" s="1" t="s">
        <v>153</v>
      </c>
      <c r="D109" s="1"/>
      <c r="E109" s="2" t="s">
        <v>37</v>
      </c>
      <c r="F109" s="2">
        <v>220</v>
      </c>
      <c r="G109" s="2" t="s">
        <v>55</v>
      </c>
      <c r="H109" s="2">
        <v>110</v>
      </c>
      <c r="I109" s="2">
        <v>1041</v>
      </c>
      <c r="J109" s="12">
        <f t="shared" si="26"/>
        <v>2082</v>
      </c>
      <c r="K109" s="5">
        <f t="shared" si="27"/>
        <v>8603.3057851239664</v>
      </c>
      <c r="L109" s="2">
        <v>14</v>
      </c>
      <c r="M109" s="37">
        <f t="shared" si="28"/>
        <v>2</v>
      </c>
      <c r="N109" s="2" t="s">
        <v>154</v>
      </c>
      <c r="O109" s="32">
        <f>J109</f>
        <v>2082</v>
      </c>
      <c r="P109" s="32">
        <f t="shared" si="29"/>
        <v>0</v>
      </c>
      <c r="Q109" s="2" t="s">
        <v>16</v>
      </c>
      <c r="R109" s="2" t="s">
        <v>16</v>
      </c>
      <c r="S109" s="2" t="s">
        <v>16</v>
      </c>
      <c r="T109" s="2" t="s">
        <v>16</v>
      </c>
      <c r="U109" s="37">
        <f t="shared" si="30"/>
        <v>2</v>
      </c>
      <c r="V109" s="34"/>
      <c r="W109" s="2" t="s">
        <v>16</v>
      </c>
      <c r="X109" s="2"/>
      <c r="Y109" s="2"/>
      <c r="Z109" s="2">
        <v>1</v>
      </c>
      <c r="AA109" s="2"/>
      <c r="AB109" s="2"/>
      <c r="AC109" s="2"/>
      <c r="AD109" s="2"/>
      <c r="AE109" s="2"/>
      <c r="AF109" s="2"/>
      <c r="AG109" s="2"/>
      <c r="AH109" s="2">
        <v>10</v>
      </c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>
        <v>1</v>
      </c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</row>
    <row r="110" spans="1:86">
      <c r="A110" s="35" t="s">
        <v>150</v>
      </c>
      <c r="B110" s="1" t="s">
        <v>155</v>
      </c>
      <c r="C110" s="1" t="s">
        <v>155</v>
      </c>
      <c r="D110" s="1"/>
      <c r="E110" s="2" t="s">
        <v>37</v>
      </c>
      <c r="F110" s="2">
        <v>220</v>
      </c>
      <c r="G110" s="2" t="s">
        <v>55</v>
      </c>
      <c r="H110" s="2">
        <v>72</v>
      </c>
      <c r="I110" s="2">
        <v>677</v>
      </c>
      <c r="J110" s="12">
        <f t="shared" si="26"/>
        <v>677</v>
      </c>
      <c r="K110" s="5">
        <f t="shared" si="27"/>
        <v>4273.9898989898984</v>
      </c>
      <c r="L110" s="2">
        <v>1</v>
      </c>
      <c r="M110" s="37">
        <f t="shared" si="28"/>
        <v>1</v>
      </c>
      <c r="N110" s="2" t="s">
        <v>16</v>
      </c>
      <c r="O110" s="32"/>
      <c r="P110" s="32">
        <f t="shared" si="29"/>
        <v>677</v>
      </c>
      <c r="Q110" s="2" t="s">
        <v>16</v>
      </c>
      <c r="R110" s="2" t="s">
        <v>16</v>
      </c>
      <c r="S110" s="2" t="s">
        <v>16</v>
      </c>
      <c r="T110" s="2" t="s">
        <v>16</v>
      </c>
      <c r="U110" s="37">
        <f t="shared" si="30"/>
        <v>1</v>
      </c>
      <c r="V110" s="34"/>
      <c r="W110" s="2" t="s">
        <v>16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</row>
    <row r="111" spans="1:86">
      <c r="A111" s="35" t="s">
        <v>157</v>
      </c>
      <c r="B111" s="1" t="s">
        <v>151</v>
      </c>
      <c r="C111" s="1" t="s">
        <v>151</v>
      </c>
      <c r="D111" s="1"/>
      <c r="E111" s="2" t="s">
        <v>37</v>
      </c>
      <c r="F111" s="2">
        <v>240</v>
      </c>
      <c r="G111" s="2" t="s">
        <v>55</v>
      </c>
      <c r="H111" s="2">
        <v>45</v>
      </c>
      <c r="I111" s="2">
        <v>408.9</v>
      </c>
      <c r="J111" s="12">
        <f t="shared" ref="J111:J123" si="31">IFERROR(IF(AND(V111=3,U111&gt;0),I111,I111*U111),"Verify")</f>
        <v>22898.399999999998</v>
      </c>
      <c r="K111" s="5">
        <f t="shared" ref="K111:K123" si="32">+J111/(F111*H111*10^-5)</f>
        <v>212022.22222222219</v>
      </c>
      <c r="L111" s="2">
        <v>60</v>
      </c>
      <c r="M111" s="37">
        <f t="shared" ref="M111:M123" si="33">+L111-X111-Z111-AD111-AB111-AF111-AH111-AJ111-AL111-AO111-AQ111-AS111-AU111-AW111-AY111-BA111-BC111-BE111-BG111-BI111-BK111-BM111-BO111-BQ111-BS111-BU111-BW111-BY111-CA111-CC111-CE111-CG111</f>
        <v>56</v>
      </c>
      <c r="N111" s="2" t="s">
        <v>16</v>
      </c>
      <c r="O111" s="32"/>
      <c r="P111" s="32">
        <f t="shared" si="29"/>
        <v>22898.399999999998</v>
      </c>
      <c r="Q111" s="2" t="s">
        <v>16</v>
      </c>
      <c r="R111" s="2" t="s">
        <v>16</v>
      </c>
      <c r="S111" s="2" t="s">
        <v>16</v>
      </c>
      <c r="T111" s="2" t="s">
        <v>16</v>
      </c>
      <c r="U111" s="37">
        <f t="shared" si="30"/>
        <v>56</v>
      </c>
      <c r="V111" s="34"/>
      <c r="W111" s="2" t="s">
        <v>16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>
        <v>4</v>
      </c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 spans="1:86">
      <c r="A112" s="35" t="s">
        <v>157</v>
      </c>
      <c r="B112" s="1" t="s">
        <v>158</v>
      </c>
      <c r="C112" s="1" t="s">
        <v>158</v>
      </c>
      <c r="D112" s="1"/>
      <c r="E112" s="2" t="s">
        <v>37</v>
      </c>
      <c r="F112" s="2">
        <v>300</v>
      </c>
      <c r="G112" s="2" t="s">
        <v>55</v>
      </c>
      <c r="H112" s="2">
        <v>82.5</v>
      </c>
      <c r="I112" s="2">
        <v>1114</v>
      </c>
      <c r="J112" s="12">
        <f t="shared" si="31"/>
        <v>1114</v>
      </c>
      <c r="K112" s="5">
        <f t="shared" si="32"/>
        <v>4501.0101010101007</v>
      </c>
      <c r="L112" s="2">
        <v>1</v>
      </c>
      <c r="M112" s="37">
        <f t="shared" si="33"/>
        <v>1</v>
      </c>
      <c r="N112" s="2" t="s">
        <v>56</v>
      </c>
      <c r="O112" s="32">
        <f>J112</f>
        <v>1114</v>
      </c>
      <c r="P112" s="32">
        <f t="shared" si="29"/>
        <v>0</v>
      </c>
      <c r="Q112" s="2" t="s">
        <v>16</v>
      </c>
      <c r="R112" s="2" t="s">
        <v>16</v>
      </c>
      <c r="S112" s="2" t="s">
        <v>16</v>
      </c>
      <c r="T112" s="2" t="s">
        <v>16</v>
      </c>
      <c r="U112" s="37">
        <f t="shared" si="30"/>
        <v>1</v>
      </c>
      <c r="V112" s="34"/>
      <c r="W112" s="2" t="s">
        <v>16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</row>
    <row r="113" spans="1:86">
      <c r="A113" s="35" t="s">
        <v>157</v>
      </c>
      <c r="B113" s="1" t="s">
        <v>148</v>
      </c>
      <c r="C113" s="1" t="s">
        <v>148</v>
      </c>
      <c r="D113" s="1"/>
      <c r="E113" s="2" t="s">
        <v>37</v>
      </c>
      <c r="F113" s="2">
        <v>300</v>
      </c>
      <c r="G113" s="2" t="s">
        <v>55</v>
      </c>
      <c r="H113" s="2">
        <v>54.5</v>
      </c>
      <c r="I113" s="2">
        <v>283</v>
      </c>
      <c r="J113" s="12">
        <f t="shared" si="31"/>
        <v>283</v>
      </c>
      <c r="K113" s="5">
        <f t="shared" si="32"/>
        <v>1730.886850152905</v>
      </c>
      <c r="L113" s="2">
        <v>1</v>
      </c>
      <c r="M113" s="37">
        <f t="shared" si="33"/>
        <v>1</v>
      </c>
      <c r="N113" s="2" t="s">
        <v>16</v>
      </c>
      <c r="O113" s="32"/>
      <c r="P113" s="32">
        <f t="shared" si="29"/>
        <v>283</v>
      </c>
      <c r="Q113" s="2" t="s">
        <v>16</v>
      </c>
      <c r="R113" s="2" t="s">
        <v>16</v>
      </c>
      <c r="S113" s="2" t="s">
        <v>16</v>
      </c>
      <c r="T113" s="2" t="s">
        <v>16</v>
      </c>
      <c r="U113" s="37">
        <f t="shared" si="30"/>
        <v>1</v>
      </c>
      <c r="V113" s="34"/>
      <c r="W113" s="2" t="s">
        <v>16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</row>
    <row r="114" spans="1:86">
      <c r="A114" s="35" t="s">
        <v>157</v>
      </c>
      <c r="B114" s="1" t="s">
        <v>146</v>
      </c>
      <c r="C114" s="1" t="s">
        <v>146</v>
      </c>
      <c r="D114" s="1"/>
      <c r="E114" s="2" t="s">
        <v>37</v>
      </c>
      <c r="F114" s="2">
        <v>400</v>
      </c>
      <c r="G114" s="2" t="s">
        <v>55</v>
      </c>
      <c r="H114" s="2">
        <v>48</v>
      </c>
      <c r="I114" s="2">
        <v>432</v>
      </c>
      <c r="J114" s="12">
        <f t="shared" si="31"/>
        <v>864</v>
      </c>
      <c r="K114" s="5">
        <f t="shared" si="32"/>
        <v>4500</v>
      </c>
      <c r="L114" s="2">
        <v>2</v>
      </c>
      <c r="M114" s="37">
        <f t="shared" si="33"/>
        <v>2</v>
      </c>
      <c r="N114" s="2" t="s">
        <v>16</v>
      </c>
      <c r="O114" s="32"/>
      <c r="P114" s="32">
        <f t="shared" si="29"/>
        <v>864</v>
      </c>
      <c r="Q114" s="2" t="s">
        <v>16</v>
      </c>
      <c r="R114" s="2" t="s">
        <v>16</v>
      </c>
      <c r="S114" s="2" t="s">
        <v>16</v>
      </c>
      <c r="T114" s="2" t="s">
        <v>16</v>
      </c>
      <c r="U114" s="37">
        <f t="shared" si="30"/>
        <v>2</v>
      </c>
      <c r="V114" s="34"/>
      <c r="W114" s="2" t="s">
        <v>16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</row>
    <row r="115" spans="1:86" ht="28.8">
      <c r="A115" s="35" t="s">
        <v>159</v>
      </c>
      <c r="B115" s="1" t="s">
        <v>160</v>
      </c>
      <c r="C115" s="1" t="s">
        <v>160</v>
      </c>
      <c r="D115" s="1" t="s">
        <v>161</v>
      </c>
      <c r="E115" s="2" t="s">
        <v>37</v>
      </c>
      <c r="F115" s="2">
        <v>400</v>
      </c>
      <c r="G115" s="2" t="s">
        <v>55</v>
      </c>
      <c r="H115" s="2">
        <v>85</v>
      </c>
      <c r="I115" s="2">
        <v>1190</v>
      </c>
      <c r="J115" s="12">
        <f t="shared" si="31"/>
        <v>2380</v>
      </c>
      <c r="K115" s="5">
        <f t="shared" si="32"/>
        <v>6999.9999999999991</v>
      </c>
      <c r="L115" s="2">
        <v>2</v>
      </c>
      <c r="M115" s="37">
        <f t="shared" si="33"/>
        <v>2</v>
      </c>
      <c r="N115" s="2" t="s">
        <v>162</v>
      </c>
      <c r="O115" s="32">
        <f>J115</f>
        <v>2380</v>
      </c>
      <c r="P115" s="32">
        <f t="shared" si="29"/>
        <v>0</v>
      </c>
      <c r="Q115" s="2" t="s">
        <v>16</v>
      </c>
      <c r="R115" s="2" t="s">
        <v>16</v>
      </c>
      <c r="S115" s="2" t="s">
        <v>16</v>
      </c>
      <c r="T115" s="2" t="s">
        <v>16</v>
      </c>
      <c r="U115" s="37">
        <f t="shared" si="30"/>
        <v>2</v>
      </c>
      <c r="V115" s="34"/>
      <c r="W115" s="2" t="s">
        <v>16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 spans="1:86">
      <c r="A116" s="35" t="s">
        <v>159</v>
      </c>
      <c r="B116" s="1" t="s">
        <v>146</v>
      </c>
      <c r="C116" s="1" t="s">
        <v>146</v>
      </c>
      <c r="D116" s="1"/>
      <c r="E116" s="2" t="s">
        <v>37</v>
      </c>
      <c r="F116" s="2">
        <v>400</v>
      </c>
      <c r="G116" s="2" t="s">
        <v>55</v>
      </c>
      <c r="H116" s="2">
        <v>48</v>
      </c>
      <c r="I116" s="2">
        <v>432</v>
      </c>
      <c r="J116" s="12">
        <f t="shared" si="31"/>
        <v>432</v>
      </c>
      <c r="K116" s="5">
        <f t="shared" si="32"/>
        <v>2250</v>
      </c>
      <c r="L116" s="2">
        <v>1</v>
      </c>
      <c r="M116" s="37">
        <f t="shared" si="33"/>
        <v>1</v>
      </c>
      <c r="N116" s="2" t="s">
        <v>16</v>
      </c>
      <c r="O116" s="32"/>
      <c r="P116" s="32">
        <f t="shared" si="29"/>
        <v>432</v>
      </c>
      <c r="Q116" s="2" t="s">
        <v>16</v>
      </c>
      <c r="R116" s="2" t="s">
        <v>16</v>
      </c>
      <c r="S116" s="2" t="s">
        <v>16</v>
      </c>
      <c r="T116" s="2" t="s">
        <v>16</v>
      </c>
      <c r="U116" s="37">
        <f t="shared" si="30"/>
        <v>1</v>
      </c>
      <c r="V116" s="34"/>
      <c r="W116" s="2" t="s">
        <v>16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 spans="1:86">
      <c r="A117" s="35" t="s">
        <v>159</v>
      </c>
      <c r="B117" s="1" t="s">
        <v>156</v>
      </c>
      <c r="C117" s="1" t="s">
        <v>156</v>
      </c>
      <c r="D117" s="1"/>
      <c r="E117" s="2" t="s">
        <v>37</v>
      </c>
      <c r="F117" s="2">
        <v>280</v>
      </c>
      <c r="G117" s="2" t="s">
        <v>55</v>
      </c>
      <c r="H117" s="2">
        <v>79</v>
      </c>
      <c r="I117" s="2">
        <v>774</v>
      </c>
      <c r="J117" s="12">
        <f t="shared" si="31"/>
        <v>2322</v>
      </c>
      <c r="K117" s="5">
        <f t="shared" si="32"/>
        <v>10497.287522603978</v>
      </c>
      <c r="L117" s="2">
        <v>7</v>
      </c>
      <c r="M117" s="37">
        <f t="shared" si="33"/>
        <v>3</v>
      </c>
      <c r="N117" s="2" t="s">
        <v>16</v>
      </c>
      <c r="O117" s="32"/>
      <c r="P117" s="32">
        <f t="shared" si="29"/>
        <v>2322</v>
      </c>
      <c r="Q117" s="2" t="s">
        <v>16</v>
      </c>
      <c r="R117" s="2" t="s">
        <v>16</v>
      </c>
      <c r="S117" s="2" t="s">
        <v>16</v>
      </c>
      <c r="T117" s="2" t="s">
        <v>16</v>
      </c>
      <c r="U117" s="37">
        <f t="shared" si="30"/>
        <v>3</v>
      </c>
      <c r="V117" s="34"/>
      <c r="W117" s="2" t="s">
        <v>16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>
        <v>4</v>
      </c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 spans="1:86">
      <c r="A118" s="35" t="s">
        <v>163</v>
      </c>
      <c r="B118" s="1" t="s">
        <v>164</v>
      </c>
      <c r="C118" s="1" t="s">
        <v>164</v>
      </c>
      <c r="D118" s="1" t="s">
        <v>165</v>
      </c>
      <c r="E118" s="2" t="s">
        <v>37</v>
      </c>
      <c r="F118" s="2">
        <v>400</v>
      </c>
      <c r="G118" s="2" t="s">
        <v>55</v>
      </c>
      <c r="H118" s="2">
        <v>108</v>
      </c>
      <c r="I118" s="2">
        <v>1339</v>
      </c>
      <c r="J118" s="12">
        <f t="shared" si="31"/>
        <v>10712</v>
      </c>
      <c r="K118" s="5">
        <f t="shared" si="32"/>
        <v>24796.296296296292</v>
      </c>
      <c r="L118" s="2">
        <v>8</v>
      </c>
      <c r="M118" s="37">
        <f t="shared" si="33"/>
        <v>8</v>
      </c>
      <c r="N118" s="2" t="s">
        <v>166</v>
      </c>
      <c r="O118" s="32">
        <f t="shared" ref="O118:O119" si="34">J118</f>
        <v>10712</v>
      </c>
      <c r="P118" s="32">
        <f t="shared" ref="P118:P151" si="35">+J118-O118</f>
        <v>0</v>
      </c>
      <c r="Q118" s="2" t="s">
        <v>16</v>
      </c>
      <c r="R118" s="2" t="s">
        <v>16</v>
      </c>
      <c r="S118" s="2" t="s">
        <v>16</v>
      </c>
      <c r="T118" s="2" t="s">
        <v>16</v>
      </c>
      <c r="U118" s="37">
        <f t="shared" si="30"/>
        <v>8</v>
      </c>
      <c r="V118" s="34"/>
      <c r="W118" s="2" t="s">
        <v>16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</row>
    <row r="119" spans="1:86">
      <c r="A119" s="35" t="s">
        <v>163</v>
      </c>
      <c r="B119" s="1" t="s">
        <v>167</v>
      </c>
      <c r="C119" s="1" t="s">
        <v>167</v>
      </c>
      <c r="D119" s="1" t="s">
        <v>165</v>
      </c>
      <c r="E119" s="2" t="s">
        <v>37</v>
      </c>
      <c r="F119" s="2">
        <v>400</v>
      </c>
      <c r="G119" s="2" t="s">
        <v>55</v>
      </c>
      <c r="H119" s="2">
        <v>138.4</v>
      </c>
      <c r="I119" s="2">
        <v>1716</v>
      </c>
      <c r="J119" s="12">
        <f t="shared" si="31"/>
        <v>6864</v>
      </c>
      <c r="K119" s="5">
        <f t="shared" si="32"/>
        <v>12398.843930635836</v>
      </c>
      <c r="L119" s="2">
        <v>4</v>
      </c>
      <c r="M119" s="37">
        <f t="shared" si="33"/>
        <v>4</v>
      </c>
      <c r="N119" s="2" t="s">
        <v>166</v>
      </c>
      <c r="O119" s="32">
        <f t="shared" si="34"/>
        <v>6864</v>
      </c>
      <c r="P119" s="32">
        <f t="shared" si="35"/>
        <v>0</v>
      </c>
      <c r="Q119" s="2" t="s">
        <v>16</v>
      </c>
      <c r="R119" s="2" t="s">
        <v>16</v>
      </c>
      <c r="S119" s="2" t="s">
        <v>16</v>
      </c>
      <c r="T119" s="2" t="s">
        <v>16</v>
      </c>
      <c r="U119" s="37">
        <f t="shared" si="30"/>
        <v>4</v>
      </c>
      <c r="V119" s="34"/>
      <c r="W119" s="2" t="s">
        <v>16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</row>
    <row r="120" spans="1:86">
      <c r="A120" s="35">
        <v>45742</v>
      </c>
      <c r="B120" s="1" t="s">
        <v>168</v>
      </c>
      <c r="C120" s="1" t="s">
        <v>168</v>
      </c>
      <c r="D120" s="1"/>
      <c r="E120" s="2" t="s">
        <v>41</v>
      </c>
      <c r="F120" s="2">
        <v>70</v>
      </c>
      <c r="G120" s="2" t="s">
        <v>169</v>
      </c>
      <c r="H120" s="2">
        <v>59</v>
      </c>
      <c r="I120" s="2">
        <v>364.1</v>
      </c>
      <c r="J120" s="12">
        <f t="shared" si="31"/>
        <v>2548.7000000000003</v>
      </c>
      <c r="K120" s="5">
        <f t="shared" si="32"/>
        <v>61711.864406779663</v>
      </c>
      <c r="L120" s="2">
        <v>7</v>
      </c>
      <c r="M120" s="37">
        <f t="shared" si="33"/>
        <v>7</v>
      </c>
      <c r="N120" s="2" t="s">
        <v>43</v>
      </c>
      <c r="O120" s="32">
        <f>J120</f>
        <v>2548.7000000000003</v>
      </c>
      <c r="P120" s="32">
        <f t="shared" si="35"/>
        <v>0</v>
      </c>
      <c r="Q120" s="2" t="s">
        <v>16</v>
      </c>
      <c r="R120" s="2" t="s">
        <v>16</v>
      </c>
      <c r="S120" s="2" t="s">
        <v>16</v>
      </c>
      <c r="T120" s="2" t="s">
        <v>16</v>
      </c>
      <c r="U120" s="37">
        <f t="shared" si="30"/>
        <v>7</v>
      </c>
      <c r="V120" s="34"/>
      <c r="W120" s="2" t="s">
        <v>16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</row>
    <row r="121" spans="1:86">
      <c r="A121" s="35">
        <v>45745</v>
      </c>
      <c r="B121" s="1" t="s">
        <v>170</v>
      </c>
      <c r="C121" s="1" t="s">
        <v>170</v>
      </c>
      <c r="D121" s="1"/>
      <c r="E121" s="2" t="s">
        <v>37</v>
      </c>
      <c r="F121" s="2">
        <v>400</v>
      </c>
      <c r="G121" s="2" t="s">
        <v>171</v>
      </c>
      <c r="H121" s="2">
        <v>136</v>
      </c>
      <c r="I121" s="2">
        <v>1251.2</v>
      </c>
      <c r="J121" s="12">
        <f t="shared" si="31"/>
        <v>10009.6</v>
      </c>
      <c r="K121" s="5">
        <f t="shared" si="32"/>
        <v>18400</v>
      </c>
      <c r="L121" s="2">
        <v>8</v>
      </c>
      <c r="M121" s="37">
        <f t="shared" si="33"/>
        <v>8</v>
      </c>
      <c r="N121" s="2"/>
      <c r="O121" s="32"/>
      <c r="P121" s="32">
        <f t="shared" si="35"/>
        <v>10009.6</v>
      </c>
      <c r="Q121" s="2" t="s">
        <v>16</v>
      </c>
      <c r="R121" s="2" t="s">
        <v>16</v>
      </c>
      <c r="S121" s="2" t="s">
        <v>16</v>
      </c>
      <c r="T121" s="2" t="s">
        <v>16</v>
      </c>
      <c r="U121" s="37">
        <f t="shared" si="30"/>
        <v>8</v>
      </c>
      <c r="V121" s="34"/>
      <c r="W121" s="2" t="s">
        <v>16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</row>
    <row r="122" spans="1:86">
      <c r="A122" s="35">
        <v>45745</v>
      </c>
      <c r="B122" s="1" t="s">
        <v>172</v>
      </c>
      <c r="C122" s="1" t="s">
        <v>172</v>
      </c>
      <c r="D122" s="1"/>
      <c r="E122" s="2" t="s">
        <v>37</v>
      </c>
      <c r="F122" s="2">
        <v>400</v>
      </c>
      <c r="G122" s="2" t="s">
        <v>171</v>
      </c>
      <c r="H122" s="2">
        <v>69</v>
      </c>
      <c r="I122" s="2">
        <v>633.04</v>
      </c>
      <c r="J122" s="12">
        <f t="shared" si="31"/>
        <v>27853.759999999998</v>
      </c>
      <c r="K122" s="5">
        <f t="shared" si="32"/>
        <v>100919.42028985506</v>
      </c>
      <c r="L122" s="2">
        <v>44</v>
      </c>
      <c r="M122" s="37">
        <f t="shared" si="33"/>
        <v>44</v>
      </c>
      <c r="N122" s="2" t="s">
        <v>59</v>
      </c>
      <c r="O122" s="32">
        <f t="shared" ref="O122:O125" si="36">J122</f>
        <v>27853.759999999998</v>
      </c>
      <c r="P122" s="32">
        <f t="shared" si="35"/>
        <v>0</v>
      </c>
      <c r="Q122" s="2" t="s">
        <v>16</v>
      </c>
      <c r="R122" s="2" t="s">
        <v>16</v>
      </c>
      <c r="S122" s="2" t="s">
        <v>16</v>
      </c>
      <c r="T122" s="2" t="s">
        <v>16</v>
      </c>
      <c r="U122" s="37">
        <f t="shared" si="30"/>
        <v>44</v>
      </c>
      <c r="V122" s="34"/>
      <c r="W122" s="2" t="s">
        <v>16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</row>
    <row r="123" spans="1:86">
      <c r="A123" s="35">
        <v>45745</v>
      </c>
      <c r="B123" s="1" t="s">
        <v>173</v>
      </c>
      <c r="C123" s="1" t="s">
        <v>173</v>
      </c>
      <c r="D123" s="1"/>
      <c r="E123" s="2" t="s">
        <v>37</v>
      </c>
      <c r="F123" s="2">
        <v>400</v>
      </c>
      <c r="G123" s="2" t="s">
        <v>171</v>
      </c>
      <c r="H123" s="2">
        <v>61</v>
      </c>
      <c r="I123" s="2">
        <v>555.98</v>
      </c>
      <c r="J123" s="12">
        <f t="shared" si="31"/>
        <v>13343.52</v>
      </c>
      <c r="K123" s="5">
        <f t="shared" si="32"/>
        <v>54686.557377049176</v>
      </c>
      <c r="L123" s="2">
        <v>24</v>
      </c>
      <c r="M123" s="37">
        <f t="shared" si="33"/>
        <v>24</v>
      </c>
      <c r="N123" s="2" t="s">
        <v>59</v>
      </c>
      <c r="O123" s="32">
        <f t="shared" si="36"/>
        <v>13343.52</v>
      </c>
      <c r="P123" s="32">
        <f t="shared" si="35"/>
        <v>0</v>
      </c>
      <c r="Q123" s="2" t="s">
        <v>16</v>
      </c>
      <c r="R123" s="2" t="s">
        <v>16</v>
      </c>
      <c r="S123" s="2" t="s">
        <v>16</v>
      </c>
      <c r="T123" s="2" t="s">
        <v>16</v>
      </c>
      <c r="U123" s="37">
        <f t="shared" si="30"/>
        <v>24</v>
      </c>
      <c r="V123" s="34"/>
      <c r="W123" s="2" t="s">
        <v>16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 spans="1:86">
      <c r="A124" s="35">
        <v>45745</v>
      </c>
      <c r="B124" s="1" t="s">
        <v>175</v>
      </c>
      <c r="C124" s="1" t="s">
        <v>175</v>
      </c>
      <c r="D124" s="1"/>
      <c r="E124" s="2" t="s">
        <v>37</v>
      </c>
      <c r="F124" s="2">
        <v>310</v>
      </c>
      <c r="G124" s="2" t="s">
        <v>171</v>
      </c>
      <c r="H124" s="2">
        <v>76</v>
      </c>
      <c r="I124" s="2">
        <v>729.89</v>
      </c>
      <c r="J124" s="12">
        <f t="shared" ref="J124:J143" si="37">IFERROR(IF(AND(V124=3,U124&gt;0),I124,I124*U124),"Verify")</f>
        <v>6569.01</v>
      </c>
      <c r="K124" s="5">
        <f t="shared" ref="K124:K143" si="38">+J124/(F124*H124*10^-5)</f>
        <v>27882.045840407467</v>
      </c>
      <c r="L124" s="2">
        <v>9</v>
      </c>
      <c r="M124" s="37">
        <f t="shared" ref="M124:M143" si="39">+L124-X124-Z124-AD124-AB124-AF124-AH124-AJ124-AL124-AO124-AQ124-AS124-AU124-AW124-AY124-BA124-BC124-BE124-BG124-BI124-BK124-BM124-BO124-BQ124-BS124-BU124-BW124-BY124-CA124-CC124-CE124-CG124</f>
        <v>9</v>
      </c>
      <c r="N124" s="2" t="s">
        <v>59</v>
      </c>
      <c r="O124" s="32">
        <f t="shared" si="36"/>
        <v>6569.01</v>
      </c>
      <c r="P124" s="32">
        <f t="shared" si="35"/>
        <v>0</v>
      </c>
      <c r="Q124" s="2" t="s">
        <v>16</v>
      </c>
      <c r="R124" s="2" t="s">
        <v>16</v>
      </c>
      <c r="S124" s="2" t="s">
        <v>16</v>
      </c>
      <c r="T124" s="2" t="s">
        <v>16</v>
      </c>
      <c r="U124" s="37">
        <f t="shared" si="30"/>
        <v>9</v>
      </c>
      <c r="V124" s="34"/>
      <c r="W124" s="2" t="s">
        <v>16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</row>
    <row r="125" spans="1:86">
      <c r="A125" s="35">
        <v>45745</v>
      </c>
      <c r="B125" s="1" t="s">
        <v>174</v>
      </c>
      <c r="C125" s="1" t="s">
        <v>174</v>
      </c>
      <c r="D125" s="1"/>
      <c r="E125" s="2" t="s">
        <v>37</v>
      </c>
      <c r="F125" s="2">
        <v>450</v>
      </c>
      <c r="G125" s="2" t="s">
        <v>171</v>
      </c>
      <c r="H125" s="2">
        <v>69</v>
      </c>
      <c r="I125" s="2">
        <v>634</v>
      </c>
      <c r="J125" s="12">
        <f t="shared" si="37"/>
        <v>25994</v>
      </c>
      <c r="K125" s="5">
        <f t="shared" si="38"/>
        <v>83716.586151368756</v>
      </c>
      <c r="L125" s="2">
        <v>107</v>
      </c>
      <c r="M125" s="37">
        <f t="shared" si="39"/>
        <v>41</v>
      </c>
      <c r="N125" s="2" t="s">
        <v>59</v>
      </c>
      <c r="O125" s="32">
        <f t="shared" si="36"/>
        <v>25994</v>
      </c>
      <c r="P125" s="32">
        <f t="shared" si="35"/>
        <v>0</v>
      </c>
      <c r="Q125" s="2" t="s">
        <v>16</v>
      </c>
      <c r="R125" s="2" t="s">
        <v>16</v>
      </c>
      <c r="S125" s="2" t="s">
        <v>16</v>
      </c>
      <c r="T125" s="2" t="s">
        <v>16</v>
      </c>
      <c r="U125" s="37">
        <f t="shared" si="30"/>
        <v>41</v>
      </c>
      <c r="V125" s="34"/>
      <c r="W125" s="2" t="s">
        <v>16</v>
      </c>
      <c r="X125" s="2">
        <v>21</v>
      </c>
      <c r="Y125" s="2"/>
      <c r="Z125" s="2">
        <v>8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>
        <v>7</v>
      </c>
      <c r="AM125" s="2"/>
      <c r="AN125" s="2"/>
      <c r="AO125" s="2">
        <v>1</v>
      </c>
      <c r="AP125" s="2"/>
      <c r="AQ125" s="2">
        <v>18</v>
      </c>
      <c r="AR125" s="2"/>
      <c r="AS125" s="2"/>
      <c r="AT125" s="2"/>
      <c r="AU125" s="2"/>
      <c r="AV125" s="2"/>
      <c r="AW125" s="2">
        <v>11</v>
      </c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</row>
    <row r="126" spans="1:86">
      <c r="A126" s="35">
        <v>45745</v>
      </c>
      <c r="B126" s="1" t="s">
        <v>175</v>
      </c>
      <c r="C126" s="1" t="s">
        <v>175</v>
      </c>
      <c r="D126" s="1"/>
      <c r="E126" s="2" t="s">
        <v>37</v>
      </c>
      <c r="F126" s="2">
        <v>310</v>
      </c>
      <c r="G126" s="2" t="s">
        <v>171</v>
      </c>
      <c r="H126" s="2">
        <v>76</v>
      </c>
      <c r="I126" s="2">
        <v>729.89</v>
      </c>
      <c r="J126" s="12">
        <f t="shared" si="37"/>
        <v>12408.13</v>
      </c>
      <c r="K126" s="5">
        <f t="shared" si="38"/>
        <v>52666.086587436323</v>
      </c>
      <c r="L126" s="2">
        <v>18</v>
      </c>
      <c r="M126" s="37">
        <f t="shared" si="39"/>
        <v>17</v>
      </c>
      <c r="N126" s="2" t="s">
        <v>59</v>
      </c>
      <c r="O126" s="32">
        <f>J126</f>
        <v>12408.13</v>
      </c>
      <c r="P126" s="32">
        <f t="shared" si="35"/>
        <v>0</v>
      </c>
      <c r="Q126" s="2" t="s">
        <v>16</v>
      </c>
      <c r="R126" s="2" t="s">
        <v>16</v>
      </c>
      <c r="S126" s="2" t="s">
        <v>16</v>
      </c>
      <c r="T126" s="2" t="s">
        <v>16</v>
      </c>
      <c r="U126" s="37">
        <f t="shared" si="30"/>
        <v>17</v>
      </c>
      <c r="V126" s="34"/>
      <c r="W126" s="2" t="s">
        <v>16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>
        <v>1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 spans="1:86">
      <c r="A127" s="35">
        <v>45745</v>
      </c>
      <c r="B127" s="1" t="s">
        <v>176</v>
      </c>
      <c r="C127" s="1" t="s">
        <v>176</v>
      </c>
      <c r="D127" s="1"/>
      <c r="E127" s="2" t="s">
        <v>37</v>
      </c>
      <c r="F127" s="2">
        <v>310</v>
      </c>
      <c r="G127" s="2" t="s">
        <v>171</v>
      </c>
      <c r="H127" s="2">
        <v>81</v>
      </c>
      <c r="I127" s="2">
        <v>777.35</v>
      </c>
      <c r="J127" s="12">
        <f t="shared" si="37"/>
        <v>10105.550000000001</v>
      </c>
      <c r="K127" s="5">
        <f t="shared" si="38"/>
        <v>40245.121465551572</v>
      </c>
      <c r="L127" s="2">
        <v>13</v>
      </c>
      <c r="M127" s="37">
        <f t="shared" si="39"/>
        <v>13</v>
      </c>
      <c r="N127" s="2" t="s">
        <v>59</v>
      </c>
      <c r="O127" s="32">
        <f>J127</f>
        <v>10105.550000000001</v>
      </c>
      <c r="P127" s="32">
        <f t="shared" si="35"/>
        <v>0</v>
      </c>
      <c r="Q127" s="2" t="s">
        <v>16</v>
      </c>
      <c r="R127" s="2" t="s">
        <v>16</v>
      </c>
      <c r="S127" s="2" t="s">
        <v>16</v>
      </c>
      <c r="T127" s="2" t="s">
        <v>16</v>
      </c>
      <c r="U127" s="37">
        <f t="shared" si="30"/>
        <v>13</v>
      </c>
      <c r="V127" s="34"/>
      <c r="W127" s="2" t="s">
        <v>16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 spans="1:86">
      <c r="A128" s="35">
        <v>45745</v>
      </c>
      <c r="B128" s="1" t="s">
        <v>177</v>
      </c>
      <c r="C128" s="1" t="s">
        <v>177</v>
      </c>
      <c r="D128" s="1"/>
      <c r="E128" s="2" t="s">
        <v>37</v>
      </c>
      <c r="F128" s="2">
        <v>310</v>
      </c>
      <c r="G128" s="2" t="s">
        <v>171</v>
      </c>
      <c r="H128" s="2">
        <v>84</v>
      </c>
      <c r="I128" s="2">
        <v>807.2</v>
      </c>
      <c r="J128" s="12">
        <f t="shared" si="37"/>
        <v>11300.800000000001</v>
      </c>
      <c r="K128" s="5">
        <f t="shared" si="38"/>
        <v>43397.849462365593</v>
      </c>
      <c r="L128" s="2">
        <v>14</v>
      </c>
      <c r="M128" s="37">
        <f t="shared" si="39"/>
        <v>14</v>
      </c>
      <c r="N128" s="2" t="s">
        <v>59</v>
      </c>
      <c r="O128" s="32">
        <f>J128</f>
        <v>11300.800000000001</v>
      </c>
      <c r="P128" s="32">
        <f t="shared" si="35"/>
        <v>0</v>
      </c>
      <c r="Q128" s="2" t="s">
        <v>16</v>
      </c>
      <c r="R128" s="2" t="s">
        <v>16</v>
      </c>
      <c r="S128" s="2" t="s">
        <v>16</v>
      </c>
      <c r="T128" s="2" t="s">
        <v>16</v>
      </c>
      <c r="U128" s="37">
        <f t="shared" si="30"/>
        <v>14</v>
      </c>
      <c r="V128" s="34"/>
      <c r="W128" s="2" t="s">
        <v>16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</row>
    <row r="129" spans="1:86">
      <c r="A129" s="35">
        <v>45747</v>
      </c>
      <c r="B129" s="1" t="s">
        <v>178</v>
      </c>
      <c r="C129" s="1" t="s">
        <v>178</v>
      </c>
      <c r="D129" s="1"/>
      <c r="E129" s="2" t="s">
        <v>37</v>
      </c>
      <c r="F129" s="2">
        <v>400</v>
      </c>
      <c r="G129" s="2" t="s">
        <v>171</v>
      </c>
      <c r="H129" s="2">
        <v>94</v>
      </c>
      <c r="I129" s="2">
        <v>862.75</v>
      </c>
      <c r="J129" s="12">
        <f t="shared" si="37"/>
        <v>3451</v>
      </c>
      <c r="K129" s="5">
        <f t="shared" si="38"/>
        <v>9178.1914893617013</v>
      </c>
      <c r="L129" s="2">
        <v>6</v>
      </c>
      <c r="M129" s="37">
        <f t="shared" si="39"/>
        <v>4</v>
      </c>
      <c r="N129" s="2"/>
      <c r="O129" s="32"/>
      <c r="P129" s="32">
        <f t="shared" si="35"/>
        <v>3451</v>
      </c>
      <c r="Q129" s="2" t="s">
        <v>16</v>
      </c>
      <c r="R129" s="2" t="s">
        <v>16</v>
      </c>
      <c r="S129" s="2" t="s">
        <v>16</v>
      </c>
      <c r="T129" s="2" t="s">
        <v>16</v>
      </c>
      <c r="U129" s="37">
        <f t="shared" si="30"/>
        <v>4</v>
      </c>
      <c r="V129" s="34"/>
      <c r="W129" s="2" t="s">
        <v>16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>
        <v>2</v>
      </c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 spans="1:86">
      <c r="A130" s="35">
        <v>45747</v>
      </c>
      <c r="B130" s="1" t="s">
        <v>179</v>
      </c>
      <c r="C130" s="1" t="s">
        <v>179</v>
      </c>
      <c r="D130" s="1"/>
      <c r="E130" s="2" t="s">
        <v>37</v>
      </c>
      <c r="F130" s="2">
        <v>450</v>
      </c>
      <c r="G130" s="2" t="s">
        <v>171</v>
      </c>
      <c r="H130" s="2">
        <v>99</v>
      </c>
      <c r="I130" s="2">
        <v>904.39</v>
      </c>
      <c r="J130" s="12">
        <f t="shared" si="37"/>
        <v>28036.09</v>
      </c>
      <c r="K130" s="5">
        <f t="shared" si="38"/>
        <v>62931.739618406275</v>
      </c>
      <c r="L130" s="2">
        <v>31</v>
      </c>
      <c r="M130" s="37">
        <f t="shared" si="39"/>
        <v>31</v>
      </c>
      <c r="N130" s="2" t="s">
        <v>16</v>
      </c>
      <c r="O130" s="32"/>
      <c r="P130" s="32">
        <f t="shared" si="35"/>
        <v>28036.09</v>
      </c>
      <c r="Q130" s="2" t="s">
        <v>16</v>
      </c>
      <c r="R130" s="2" t="s">
        <v>16</v>
      </c>
      <c r="S130" s="2" t="s">
        <v>16</v>
      </c>
      <c r="T130" s="2" t="s">
        <v>16</v>
      </c>
      <c r="U130" s="37">
        <f t="shared" si="30"/>
        <v>31</v>
      </c>
      <c r="V130" s="34"/>
      <c r="W130" s="2" t="s">
        <v>16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 spans="1:86">
      <c r="A131" s="35">
        <v>45747</v>
      </c>
      <c r="B131" s="1" t="s">
        <v>180</v>
      </c>
      <c r="C131" s="1" t="s">
        <v>180</v>
      </c>
      <c r="D131" s="1"/>
      <c r="E131" s="2" t="s">
        <v>37</v>
      </c>
      <c r="F131" s="2">
        <v>450</v>
      </c>
      <c r="G131" s="2" t="s">
        <v>171</v>
      </c>
      <c r="H131" s="2">
        <v>109</v>
      </c>
      <c r="I131" s="2">
        <v>1003.5</v>
      </c>
      <c r="J131" s="12">
        <f t="shared" si="37"/>
        <v>10035</v>
      </c>
      <c r="K131" s="5">
        <f t="shared" si="38"/>
        <v>20458.715596330272</v>
      </c>
      <c r="L131" s="2">
        <v>10</v>
      </c>
      <c r="M131" s="37">
        <f t="shared" si="39"/>
        <v>10</v>
      </c>
      <c r="N131" s="2" t="s">
        <v>16</v>
      </c>
      <c r="O131" s="32"/>
      <c r="P131" s="32">
        <f t="shared" si="35"/>
        <v>10035</v>
      </c>
      <c r="Q131" s="2" t="s">
        <v>16</v>
      </c>
      <c r="R131" s="2" t="s">
        <v>16</v>
      </c>
      <c r="S131" s="2" t="s">
        <v>16</v>
      </c>
      <c r="T131" s="2" t="s">
        <v>16</v>
      </c>
      <c r="U131" s="37">
        <f t="shared" si="30"/>
        <v>10</v>
      </c>
      <c r="V131" s="34"/>
      <c r="W131" s="2" t="s">
        <v>16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</row>
    <row r="132" spans="1:86">
      <c r="A132" s="35">
        <v>45747</v>
      </c>
      <c r="B132" s="1" t="s">
        <v>170</v>
      </c>
      <c r="C132" s="1" t="s">
        <v>170</v>
      </c>
      <c r="D132" s="1"/>
      <c r="E132" s="2" t="s">
        <v>37</v>
      </c>
      <c r="F132" s="2">
        <v>400</v>
      </c>
      <c r="G132" s="2" t="s">
        <v>171</v>
      </c>
      <c r="H132" s="2">
        <v>136</v>
      </c>
      <c r="I132" s="2">
        <v>1251.2</v>
      </c>
      <c r="J132" s="12">
        <f t="shared" si="37"/>
        <v>10009.6</v>
      </c>
      <c r="K132" s="5">
        <f t="shared" si="38"/>
        <v>18400</v>
      </c>
      <c r="L132" s="2">
        <v>8</v>
      </c>
      <c r="M132" s="37">
        <f t="shared" si="39"/>
        <v>8</v>
      </c>
      <c r="N132" s="2" t="s">
        <v>16</v>
      </c>
      <c r="O132" s="32"/>
      <c r="P132" s="32">
        <f t="shared" si="35"/>
        <v>10009.6</v>
      </c>
      <c r="Q132" s="2" t="s">
        <v>16</v>
      </c>
      <c r="R132" s="2" t="s">
        <v>16</v>
      </c>
      <c r="S132" s="2" t="s">
        <v>16</v>
      </c>
      <c r="T132" s="2" t="s">
        <v>16</v>
      </c>
      <c r="U132" s="37">
        <f t="shared" si="30"/>
        <v>8</v>
      </c>
      <c r="V132" s="34"/>
      <c r="W132" s="2" t="s">
        <v>16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</row>
    <row r="133" spans="1:86">
      <c r="A133" s="35">
        <v>45747</v>
      </c>
      <c r="B133" s="1" t="s">
        <v>181</v>
      </c>
      <c r="C133" s="1" t="s">
        <v>181</v>
      </c>
      <c r="D133" s="1"/>
      <c r="E133" s="2" t="s">
        <v>37</v>
      </c>
      <c r="F133" s="2">
        <v>350</v>
      </c>
      <c r="G133" s="2" t="s">
        <v>171</v>
      </c>
      <c r="H133" s="2">
        <v>136</v>
      </c>
      <c r="I133" s="2">
        <v>1309</v>
      </c>
      <c r="J133" s="12">
        <f t="shared" si="37"/>
        <v>37961</v>
      </c>
      <c r="K133" s="5">
        <f t="shared" si="38"/>
        <v>79750</v>
      </c>
      <c r="L133" s="2">
        <v>29</v>
      </c>
      <c r="M133" s="37">
        <f t="shared" si="39"/>
        <v>29</v>
      </c>
      <c r="N133" s="2" t="s">
        <v>16</v>
      </c>
      <c r="O133" s="32"/>
      <c r="P133" s="32">
        <f t="shared" si="35"/>
        <v>37961</v>
      </c>
      <c r="Q133" s="2" t="s">
        <v>16</v>
      </c>
      <c r="R133" s="2" t="s">
        <v>16</v>
      </c>
      <c r="S133" s="2" t="s">
        <v>16</v>
      </c>
      <c r="T133" s="2" t="s">
        <v>16</v>
      </c>
      <c r="U133" s="37">
        <f t="shared" si="30"/>
        <v>29</v>
      </c>
      <c r="V133" s="34"/>
      <c r="W133" s="2" t="s">
        <v>16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 spans="1:86">
      <c r="A134" s="35">
        <v>45747</v>
      </c>
      <c r="B134" s="1" t="s">
        <v>182</v>
      </c>
      <c r="C134" s="1" t="s">
        <v>182</v>
      </c>
      <c r="D134" s="1"/>
      <c r="E134" s="2" t="s">
        <v>37</v>
      </c>
      <c r="F134" s="2">
        <v>400</v>
      </c>
      <c r="G134" s="2" t="s">
        <v>171</v>
      </c>
      <c r="H134" s="2">
        <v>210</v>
      </c>
      <c r="I134" s="2">
        <v>1924.86</v>
      </c>
      <c r="J134" s="12">
        <f t="shared" si="37"/>
        <v>38497.199999999997</v>
      </c>
      <c r="K134" s="5">
        <f t="shared" si="38"/>
        <v>45829.999999999993</v>
      </c>
      <c r="L134" s="2">
        <v>20</v>
      </c>
      <c r="M134" s="37">
        <f t="shared" si="39"/>
        <v>20</v>
      </c>
      <c r="N134" s="2" t="s">
        <v>16</v>
      </c>
      <c r="O134" s="32"/>
      <c r="P134" s="32">
        <f t="shared" si="35"/>
        <v>38497.199999999997</v>
      </c>
      <c r="Q134" s="2" t="s">
        <v>16</v>
      </c>
      <c r="R134" s="2" t="s">
        <v>16</v>
      </c>
      <c r="S134" s="2" t="s">
        <v>16</v>
      </c>
      <c r="T134" s="2" t="s">
        <v>16</v>
      </c>
      <c r="U134" s="37">
        <f t="shared" si="30"/>
        <v>20</v>
      </c>
      <c r="V134" s="34"/>
      <c r="W134" s="2" t="s">
        <v>16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</row>
    <row r="135" spans="1:86">
      <c r="A135" s="35">
        <v>45747</v>
      </c>
      <c r="B135" s="1" t="s">
        <v>173</v>
      </c>
      <c r="C135" s="1" t="s">
        <v>173</v>
      </c>
      <c r="D135" s="1"/>
      <c r="E135" s="2" t="s">
        <v>37</v>
      </c>
      <c r="F135" s="2">
        <v>400</v>
      </c>
      <c r="G135" s="2" t="s">
        <v>171</v>
      </c>
      <c r="H135" s="2">
        <v>61</v>
      </c>
      <c r="I135" s="2">
        <v>555.98</v>
      </c>
      <c r="J135" s="12">
        <f t="shared" si="37"/>
        <v>6671.76</v>
      </c>
      <c r="K135" s="5">
        <f t="shared" si="38"/>
        <v>27343.278688524588</v>
      </c>
      <c r="L135" s="2">
        <v>12</v>
      </c>
      <c r="M135" s="37">
        <f t="shared" si="39"/>
        <v>12</v>
      </c>
      <c r="N135" s="2" t="s">
        <v>59</v>
      </c>
      <c r="O135" s="32">
        <f>J135</f>
        <v>6671.76</v>
      </c>
      <c r="P135" s="32">
        <f t="shared" si="35"/>
        <v>0</v>
      </c>
      <c r="Q135" s="2" t="s">
        <v>16</v>
      </c>
      <c r="R135" s="2" t="s">
        <v>16</v>
      </c>
      <c r="S135" s="2" t="s">
        <v>16</v>
      </c>
      <c r="T135" s="2" t="s">
        <v>16</v>
      </c>
      <c r="U135" s="37">
        <f t="shared" si="30"/>
        <v>12</v>
      </c>
      <c r="V135" s="34"/>
      <c r="W135" s="2" t="s">
        <v>16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 spans="1:86">
      <c r="A136" s="35">
        <v>45747</v>
      </c>
      <c r="B136" s="1" t="s">
        <v>183</v>
      </c>
      <c r="C136" s="1" t="s">
        <v>183</v>
      </c>
      <c r="D136" s="1"/>
      <c r="E136" s="2" t="s">
        <v>37</v>
      </c>
      <c r="F136" s="2">
        <v>450</v>
      </c>
      <c r="G136" s="2" t="s">
        <v>171</v>
      </c>
      <c r="H136" s="2">
        <v>210</v>
      </c>
      <c r="I136" s="2">
        <v>1937.3</v>
      </c>
      <c r="J136" s="12">
        <f t="shared" si="37"/>
        <v>5811.9</v>
      </c>
      <c r="K136" s="5">
        <f t="shared" si="38"/>
        <v>6150.1587301587297</v>
      </c>
      <c r="L136" s="2">
        <v>5</v>
      </c>
      <c r="M136" s="37">
        <f t="shared" si="39"/>
        <v>3</v>
      </c>
      <c r="N136" s="2" t="s">
        <v>16</v>
      </c>
      <c r="O136" s="32"/>
      <c r="P136" s="32">
        <f t="shared" si="35"/>
        <v>5811.9</v>
      </c>
      <c r="Q136" s="2" t="s">
        <v>16</v>
      </c>
      <c r="R136" s="2" t="s">
        <v>16</v>
      </c>
      <c r="S136" s="2" t="s">
        <v>16</v>
      </c>
      <c r="T136" s="2" t="s">
        <v>16</v>
      </c>
      <c r="U136" s="37">
        <f t="shared" si="30"/>
        <v>3</v>
      </c>
      <c r="V136" s="34"/>
      <c r="W136" s="2" t="s">
        <v>16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>
        <v>2</v>
      </c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</row>
    <row r="137" spans="1:86">
      <c r="A137" s="35">
        <v>45747</v>
      </c>
      <c r="B137" s="1" t="s">
        <v>184</v>
      </c>
      <c r="C137" s="1" t="s">
        <v>184</v>
      </c>
      <c r="D137" s="1"/>
      <c r="E137" s="2" t="s">
        <v>37</v>
      </c>
      <c r="F137" s="2">
        <v>450</v>
      </c>
      <c r="G137" s="2" t="s">
        <v>171</v>
      </c>
      <c r="H137" s="2">
        <v>136</v>
      </c>
      <c r="I137" s="2">
        <v>1254.5999999999999</v>
      </c>
      <c r="J137" s="12">
        <f t="shared" si="37"/>
        <v>18819</v>
      </c>
      <c r="K137" s="5">
        <f t="shared" si="38"/>
        <v>30749.999999999996</v>
      </c>
      <c r="L137" s="2">
        <v>15</v>
      </c>
      <c r="M137" s="37">
        <f t="shared" si="39"/>
        <v>15</v>
      </c>
      <c r="N137" s="2" t="s">
        <v>16</v>
      </c>
      <c r="O137" s="32"/>
      <c r="P137" s="32">
        <f t="shared" si="35"/>
        <v>18819</v>
      </c>
      <c r="Q137" s="2" t="s">
        <v>16</v>
      </c>
      <c r="R137" s="2" t="s">
        <v>16</v>
      </c>
      <c r="S137" s="2" t="s">
        <v>16</v>
      </c>
      <c r="T137" s="2" t="s">
        <v>16</v>
      </c>
      <c r="U137" s="37">
        <f t="shared" si="30"/>
        <v>15</v>
      </c>
      <c r="V137" s="34"/>
      <c r="W137" s="2" t="s">
        <v>16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</row>
    <row r="138" spans="1:86">
      <c r="A138" s="35">
        <v>45748</v>
      </c>
      <c r="B138" s="1" t="s">
        <v>185</v>
      </c>
      <c r="C138" s="1" t="s">
        <v>185</v>
      </c>
      <c r="D138" s="1"/>
      <c r="E138" s="2" t="s">
        <v>29</v>
      </c>
      <c r="F138" s="2">
        <v>90</v>
      </c>
      <c r="G138" s="2" t="s">
        <v>186</v>
      </c>
      <c r="H138" s="2">
        <v>172</v>
      </c>
      <c r="I138" s="2">
        <v>1238.4000000000001</v>
      </c>
      <c r="J138" s="12">
        <f t="shared" si="37"/>
        <v>1238.4000000000001</v>
      </c>
      <c r="K138" s="5">
        <f t="shared" si="38"/>
        <v>7999.9999999999991</v>
      </c>
      <c r="L138" s="2">
        <v>1</v>
      </c>
      <c r="M138" s="37">
        <f t="shared" si="39"/>
        <v>1</v>
      </c>
      <c r="N138" s="2" t="s">
        <v>16</v>
      </c>
      <c r="O138" s="32"/>
      <c r="P138" s="32">
        <f t="shared" si="35"/>
        <v>1238.4000000000001</v>
      </c>
      <c r="Q138" s="2" t="s">
        <v>16</v>
      </c>
      <c r="R138" s="2" t="s">
        <v>16</v>
      </c>
      <c r="S138" s="2" t="s">
        <v>16</v>
      </c>
      <c r="T138" s="2" t="s">
        <v>16</v>
      </c>
      <c r="U138" s="37">
        <f t="shared" si="30"/>
        <v>1</v>
      </c>
      <c r="V138" s="34"/>
      <c r="W138" s="2" t="s">
        <v>16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 spans="1:86" ht="28.8">
      <c r="A139" s="35">
        <v>45749</v>
      </c>
      <c r="B139" s="1" t="s">
        <v>187</v>
      </c>
      <c r="C139" s="1" t="s">
        <v>187</v>
      </c>
      <c r="D139" s="1"/>
      <c r="E139" s="2" t="s">
        <v>29</v>
      </c>
      <c r="F139" s="2">
        <v>110</v>
      </c>
      <c r="G139" s="2" t="s">
        <v>188</v>
      </c>
      <c r="H139" s="2">
        <v>130</v>
      </c>
      <c r="I139" s="2">
        <v>1001</v>
      </c>
      <c r="J139" s="12">
        <f>IFERROR(IF(AND(V139=3,U139&gt;0),I139,I139*U139),"Verify")</f>
        <v>9009</v>
      </c>
      <c r="K139" s="5">
        <f>+J139/(F139*H139*10^-5)</f>
        <v>62999.999999999993</v>
      </c>
      <c r="L139" s="2">
        <v>11</v>
      </c>
      <c r="M139" s="37">
        <f>+L139-X139-Z139-AD139-AB139-AF139-AH139-AJ139-AL139-AO139-AQ139-AS139-AU139-AW139-AY139-BA139-BC139-BE139-BG139-BI139-BK139-BM139-BO139-BQ139-BS139-BU139-BW139-BY139-CA139-CC139-CE139-CG139</f>
        <v>9</v>
      </c>
      <c r="N139" s="2" t="s">
        <v>16</v>
      </c>
      <c r="O139" s="32"/>
      <c r="P139" s="32">
        <f t="shared" si="35"/>
        <v>9009</v>
      </c>
      <c r="Q139" s="2" t="s">
        <v>16</v>
      </c>
      <c r="R139" s="2" t="s">
        <v>16</v>
      </c>
      <c r="S139" s="2" t="s">
        <v>16</v>
      </c>
      <c r="T139" s="2" t="s">
        <v>16</v>
      </c>
      <c r="U139" s="37">
        <f t="shared" si="30"/>
        <v>9</v>
      </c>
      <c r="V139" s="34"/>
      <c r="W139" s="2" t="s">
        <v>16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>
        <v>2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</row>
    <row r="140" spans="1:86" ht="28.8">
      <c r="A140" s="35">
        <v>45749</v>
      </c>
      <c r="B140" s="1" t="s">
        <v>189</v>
      </c>
      <c r="C140" s="1" t="s">
        <v>189</v>
      </c>
      <c r="D140" s="1"/>
      <c r="E140" s="2" t="s">
        <v>29</v>
      </c>
      <c r="F140" s="2">
        <v>120</v>
      </c>
      <c r="G140" s="2" t="s">
        <v>53</v>
      </c>
      <c r="H140" s="2">
        <v>114</v>
      </c>
      <c r="I140" s="2">
        <v>875.52</v>
      </c>
      <c r="J140" s="12">
        <f>IFERROR(IF(AND(V140=3,U140&gt;0),I140,I140*U140),"Verify")</f>
        <v>8755.2000000000007</v>
      </c>
      <c r="K140" s="5">
        <f>+J140/(F140*H140*10^-5)</f>
        <v>64000</v>
      </c>
      <c r="L140" s="2">
        <v>10</v>
      </c>
      <c r="M140" s="37">
        <f>+L140-X140-Z140-AD140-AB140-AF140-AH140-AJ140-AL140-AO140-AQ140-AS140-AU140-AW140-AY140-BA140-BC140-BE140-BG140-BI140-BK140-BM140-BO140-BQ140-BS140-BU140-BW140-BY140-CA140-CC140-CE140-CG140</f>
        <v>10</v>
      </c>
      <c r="N140" s="2" t="s">
        <v>16</v>
      </c>
      <c r="O140" s="32"/>
      <c r="P140" s="32">
        <f t="shared" si="35"/>
        <v>8755.2000000000007</v>
      </c>
      <c r="Q140" s="2" t="s">
        <v>16</v>
      </c>
      <c r="R140" s="2" t="s">
        <v>16</v>
      </c>
      <c r="S140" s="2" t="s">
        <v>16</v>
      </c>
      <c r="T140" s="2" t="s">
        <v>16</v>
      </c>
      <c r="U140" s="37">
        <f t="shared" si="30"/>
        <v>10</v>
      </c>
      <c r="V140" s="34"/>
      <c r="W140" s="2" t="s">
        <v>16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</row>
    <row r="141" spans="1:86" ht="28.8">
      <c r="A141" s="35">
        <v>45749</v>
      </c>
      <c r="B141" s="1" t="s">
        <v>190</v>
      </c>
      <c r="C141" s="1" t="s">
        <v>190</v>
      </c>
      <c r="D141" s="1"/>
      <c r="E141" s="2" t="s">
        <v>29</v>
      </c>
      <c r="F141" s="2">
        <v>120</v>
      </c>
      <c r="G141" s="2" t="s">
        <v>53</v>
      </c>
      <c r="H141" s="2">
        <v>130</v>
      </c>
      <c r="I141" s="2">
        <v>998.4</v>
      </c>
      <c r="J141" s="12">
        <f>IFERROR(IF(AND(V141=3,U141&gt;0),I141,I141*U141),"Verify")</f>
        <v>1996.8</v>
      </c>
      <c r="K141" s="5">
        <f>+J141/(F141*H141*10^-5)</f>
        <v>12800</v>
      </c>
      <c r="L141" s="2">
        <v>2</v>
      </c>
      <c r="M141" s="37">
        <f>+L141-X141-Z141-AD141-AB141-AF141-AH141-AJ141-AL141-AO141-AQ141-AS141-AU141-AW141-AY141-BA141-BC141-BE141-BG141-BI141-BK141-BM141-BO141-BQ141-BS141-BU141-BW141-BY141-CA141-CC141-CE141-CG141</f>
        <v>2</v>
      </c>
      <c r="N141" s="2" t="s">
        <v>16</v>
      </c>
      <c r="O141" s="32"/>
      <c r="P141" s="32">
        <f t="shared" si="35"/>
        <v>1996.8</v>
      </c>
      <c r="Q141" s="2" t="s">
        <v>16</v>
      </c>
      <c r="R141" s="2" t="s">
        <v>16</v>
      </c>
      <c r="S141" s="2" t="s">
        <v>16</v>
      </c>
      <c r="T141" s="2" t="s">
        <v>16</v>
      </c>
      <c r="U141" s="37">
        <f t="shared" si="30"/>
        <v>2</v>
      </c>
      <c r="V141" s="34"/>
      <c r="W141" s="2" t="s">
        <v>16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 spans="1:86" ht="28.8">
      <c r="A142" s="35">
        <v>45750</v>
      </c>
      <c r="B142" s="1" t="s">
        <v>189</v>
      </c>
      <c r="C142" s="1" t="s">
        <v>189</v>
      </c>
      <c r="D142" s="1"/>
      <c r="E142" s="2" t="s">
        <v>29</v>
      </c>
      <c r="F142" s="2">
        <v>120</v>
      </c>
      <c r="G142" s="2" t="s">
        <v>53</v>
      </c>
      <c r="H142" s="2">
        <v>114</v>
      </c>
      <c r="I142" s="2">
        <v>875.52</v>
      </c>
      <c r="J142" s="12">
        <f t="shared" si="37"/>
        <v>3502.08</v>
      </c>
      <c r="K142" s="5">
        <f t="shared" si="38"/>
        <v>25600</v>
      </c>
      <c r="L142" s="2">
        <v>4</v>
      </c>
      <c r="M142" s="37">
        <f t="shared" si="39"/>
        <v>4</v>
      </c>
      <c r="N142" s="2" t="s">
        <v>16</v>
      </c>
      <c r="O142" s="32"/>
      <c r="P142" s="32">
        <f t="shared" si="35"/>
        <v>3502.08</v>
      </c>
      <c r="Q142" s="2" t="s">
        <v>16</v>
      </c>
      <c r="R142" s="2" t="s">
        <v>16</v>
      </c>
      <c r="S142" s="2" t="s">
        <v>16</v>
      </c>
      <c r="T142" s="2" t="s">
        <v>16</v>
      </c>
      <c r="U142" s="37">
        <f t="shared" si="30"/>
        <v>4</v>
      </c>
      <c r="V142" s="34"/>
      <c r="W142" s="2" t="s">
        <v>16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</row>
    <row r="143" spans="1:86" ht="28.8">
      <c r="A143" s="35">
        <v>45750</v>
      </c>
      <c r="B143" s="1" t="s">
        <v>190</v>
      </c>
      <c r="C143" s="1" t="s">
        <v>190</v>
      </c>
      <c r="D143" s="1"/>
      <c r="E143" s="2" t="s">
        <v>29</v>
      </c>
      <c r="F143" s="2">
        <v>120</v>
      </c>
      <c r="G143" s="2" t="s">
        <v>53</v>
      </c>
      <c r="H143" s="2">
        <v>130</v>
      </c>
      <c r="I143" s="2">
        <v>998.4</v>
      </c>
      <c r="J143" s="12">
        <f t="shared" si="37"/>
        <v>10982.4</v>
      </c>
      <c r="K143" s="5">
        <f t="shared" si="38"/>
        <v>70400</v>
      </c>
      <c r="L143" s="2">
        <v>11</v>
      </c>
      <c r="M143" s="37">
        <f t="shared" si="39"/>
        <v>11</v>
      </c>
      <c r="N143" s="2" t="s">
        <v>16</v>
      </c>
      <c r="O143" s="32"/>
      <c r="P143" s="32">
        <f t="shared" si="35"/>
        <v>10982.4</v>
      </c>
      <c r="Q143" s="2" t="s">
        <v>16</v>
      </c>
      <c r="R143" s="2" t="s">
        <v>16</v>
      </c>
      <c r="S143" s="2" t="s">
        <v>16</v>
      </c>
      <c r="T143" s="2" t="s">
        <v>16</v>
      </c>
      <c r="U143" s="37">
        <f t="shared" ref="U143:U187" si="40">+L143-X143-Z143-AD143-AB143-AF143-AH143-AJ143-AL143-AO143-AQ143-AS143-AU143-AW143-AY143-BA143-BC143-BE143-BG143-BI143-BK143-BM143-BO143-BQ143-BS143-BU143-BW143-BY143-CA143-CC143-CE143-CG143</f>
        <v>11</v>
      </c>
      <c r="V143" s="34"/>
      <c r="W143" s="2" t="s">
        <v>16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</row>
    <row r="144" spans="1:86" ht="28.8">
      <c r="A144" s="35">
        <v>45751</v>
      </c>
      <c r="B144" s="1" t="s">
        <v>191</v>
      </c>
      <c r="C144" s="1" t="s">
        <v>191</v>
      </c>
      <c r="D144" s="1"/>
      <c r="E144" s="2" t="s">
        <v>29</v>
      </c>
      <c r="F144" s="2">
        <v>140</v>
      </c>
      <c r="G144" s="2" t="s">
        <v>53</v>
      </c>
      <c r="H144" s="2">
        <v>114</v>
      </c>
      <c r="I144" s="2">
        <v>845.88</v>
      </c>
      <c r="J144" s="12">
        <f t="shared" ref="J144" si="41">IFERROR(IF(AND(V144=3,U144&gt;0),I144,I144*U144),"Verify")</f>
        <v>6767.04</v>
      </c>
      <c r="K144" s="5">
        <f t="shared" ref="K144" si="42">+J144/(F144*H144*10^-5)</f>
        <v>42399.999999999993</v>
      </c>
      <c r="L144" s="2">
        <v>14</v>
      </c>
      <c r="M144" s="37">
        <f t="shared" ref="M144" si="43">+L144-X144-Z144-AD144-AB144-AF144-AH144-AJ144-AL144-AO144-AQ144-AS144-AU144-AW144-AY144-BA144-BC144-BE144-BG144-BI144-BK144-BM144-BO144-BQ144-BS144-BU144-BW144-BY144-CA144-CC144-CE144-CG144</f>
        <v>8</v>
      </c>
      <c r="N144" s="2" t="s">
        <v>16</v>
      </c>
      <c r="O144" s="32"/>
      <c r="P144" s="32">
        <f t="shared" si="35"/>
        <v>6767.04</v>
      </c>
      <c r="Q144" s="2" t="s">
        <v>16</v>
      </c>
      <c r="R144" s="2" t="s">
        <v>16</v>
      </c>
      <c r="S144" s="2" t="s">
        <v>16</v>
      </c>
      <c r="T144" s="2" t="s">
        <v>16</v>
      </c>
      <c r="U144" s="37">
        <f t="shared" si="40"/>
        <v>8</v>
      </c>
      <c r="V144" s="34"/>
      <c r="W144" s="2" t="s">
        <v>16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>
        <v>6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</row>
    <row r="145" spans="1:86">
      <c r="A145" s="35" t="s">
        <v>192</v>
      </c>
      <c r="B145" s="1" t="s">
        <v>155</v>
      </c>
      <c r="C145" s="1" t="s">
        <v>155</v>
      </c>
      <c r="D145" s="1"/>
      <c r="E145" s="2" t="s">
        <v>37</v>
      </c>
      <c r="F145" s="2">
        <v>220</v>
      </c>
      <c r="G145" s="2" t="s">
        <v>55</v>
      </c>
      <c r="H145" s="2">
        <v>72</v>
      </c>
      <c r="I145" s="2">
        <v>680.67</v>
      </c>
      <c r="J145" s="12">
        <f t="shared" ref="J145:J151" si="44">IFERROR(IF(AND(V145=3,U145&gt;0),I145,I145*U145),"Verify")</f>
        <v>16336.079999999998</v>
      </c>
      <c r="K145" s="5">
        <f t="shared" ref="K145:K157" si="45">+J145/(F145*H145*10^-5)</f>
        <v>103131.81818181816</v>
      </c>
      <c r="L145" s="2">
        <v>24</v>
      </c>
      <c r="M145" s="37">
        <f t="shared" ref="M145" si="46">+L145-X145-Z145-AD145-AB145-AF145-AH145-AJ145-AL145-AO145-AQ145-AS145-AU145-AW145-AY145-BA145-BC145-BE145-BG145-BI145-BK145-BM145-BO145-BQ145-BS145-BU145-BW145-BY145-CA145-CC145-CE145-CG145</f>
        <v>24</v>
      </c>
      <c r="N145" s="2"/>
      <c r="O145" s="32"/>
      <c r="P145" s="32">
        <f t="shared" si="35"/>
        <v>16336.079999999998</v>
      </c>
      <c r="Q145" s="2"/>
      <c r="R145" s="2"/>
      <c r="S145" s="2"/>
      <c r="T145" s="2"/>
      <c r="U145" s="37">
        <f t="shared" si="40"/>
        <v>24</v>
      </c>
      <c r="V145" s="34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</row>
    <row r="146" spans="1:86">
      <c r="A146" s="35" t="s">
        <v>193</v>
      </c>
      <c r="B146" s="1" t="s">
        <v>194</v>
      </c>
      <c r="C146" s="1" t="s">
        <v>194</v>
      </c>
      <c r="D146" s="1"/>
      <c r="E146" s="2" t="s">
        <v>37</v>
      </c>
      <c r="F146" s="2">
        <v>220</v>
      </c>
      <c r="G146" s="2" t="s">
        <v>55</v>
      </c>
      <c r="H146" s="2">
        <v>70</v>
      </c>
      <c r="I146" s="2">
        <v>662</v>
      </c>
      <c r="J146" s="12">
        <f t="shared" si="44"/>
        <v>1986</v>
      </c>
      <c r="K146" s="5">
        <f t="shared" si="45"/>
        <v>12896.103896103894</v>
      </c>
      <c r="L146" s="2">
        <v>3</v>
      </c>
      <c r="M146" s="37">
        <f t="shared" ref="M146:M157" si="47">+L146-X146-Z146-AD146-AB146-AF146-AH146-AJ146-AL146-AO146-AQ146-AS146-AU146-AW146-AY146-BA146-BC146-BE146-BG146-BI146-BK146-BM146-BO146-BQ146-BS146-BU146-BW146-BY146-CA146-CC146-CE146-CG146</f>
        <v>3</v>
      </c>
      <c r="N146" s="2"/>
      <c r="O146" s="32"/>
      <c r="P146" s="32">
        <f t="shared" si="35"/>
        <v>1986</v>
      </c>
      <c r="Q146" s="2"/>
      <c r="R146" s="2"/>
      <c r="S146" s="2"/>
      <c r="T146" s="2"/>
      <c r="U146" s="37">
        <f t="shared" si="40"/>
        <v>3</v>
      </c>
      <c r="V146" s="34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 spans="1:86">
      <c r="A147" s="35" t="s">
        <v>193</v>
      </c>
      <c r="B147" s="1" t="s">
        <v>155</v>
      </c>
      <c r="C147" s="1" t="s">
        <v>155</v>
      </c>
      <c r="D147" s="1"/>
      <c r="E147" s="2" t="s">
        <v>37</v>
      </c>
      <c r="F147" s="2">
        <v>220</v>
      </c>
      <c r="G147" s="2" t="s">
        <v>55</v>
      </c>
      <c r="H147" s="2">
        <v>72</v>
      </c>
      <c r="I147" s="2">
        <v>681</v>
      </c>
      <c r="J147" s="12">
        <f t="shared" si="44"/>
        <v>10215</v>
      </c>
      <c r="K147" s="5">
        <f t="shared" si="45"/>
        <v>64488.63636363636</v>
      </c>
      <c r="L147" s="2">
        <v>15</v>
      </c>
      <c r="M147" s="37">
        <f t="shared" si="47"/>
        <v>15</v>
      </c>
      <c r="N147" s="2"/>
      <c r="O147" s="32"/>
      <c r="P147" s="32">
        <f t="shared" si="35"/>
        <v>10215</v>
      </c>
      <c r="Q147" s="2"/>
      <c r="R147" s="2"/>
      <c r="S147" s="2"/>
      <c r="T147" s="2"/>
      <c r="U147" s="37">
        <f t="shared" si="40"/>
        <v>15</v>
      </c>
      <c r="V147" s="34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 spans="1:86">
      <c r="A148" s="35" t="s">
        <v>195</v>
      </c>
      <c r="B148" s="1" t="s">
        <v>196</v>
      </c>
      <c r="C148" s="1" t="s">
        <v>197</v>
      </c>
      <c r="D148" s="1"/>
      <c r="E148" s="2" t="s">
        <v>92</v>
      </c>
      <c r="F148" s="2">
        <v>120</v>
      </c>
      <c r="G148" s="2" t="s">
        <v>198</v>
      </c>
      <c r="H148" s="2">
        <v>58</v>
      </c>
      <c r="I148" s="2">
        <v>619</v>
      </c>
      <c r="J148" s="12">
        <f t="shared" si="44"/>
        <v>16094</v>
      </c>
      <c r="K148" s="5">
        <f t="shared" si="45"/>
        <v>231235.63218390802</v>
      </c>
      <c r="L148" s="2">
        <v>26</v>
      </c>
      <c r="M148" s="37">
        <f t="shared" si="47"/>
        <v>26</v>
      </c>
      <c r="N148" s="2"/>
      <c r="O148" s="32"/>
      <c r="P148" s="32">
        <f t="shared" si="35"/>
        <v>16094</v>
      </c>
      <c r="Q148" s="2"/>
      <c r="R148" s="2"/>
      <c r="S148" s="2"/>
      <c r="T148" s="2"/>
      <c r="U148" s="37">
        <f t="shared" si="40"/>
        <v>26</v>
      </c>
      <c r="V148" s="34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 spans="1:86">
      <c r="A149" s="35" t="s">
        <v>195</v>
      </c>
      <c r="B149" s="1" t="s">
        <v>196</v>
      </c>
      <c r="C149" s="1" t="s">
        <v>197</v>
      </c>
      <c r="D149" s="1"/>
      <c r="E149" s="2" t="s">
        <v>92</v>
      </c>
      <c r="F149" s="2">
        <v>120</v>
      </c>
      <c r="G149" s="2" t="s">
        <v>198</v>
      </c>
      <c r="H149" s="2">
        <v>58</v>
      </c>
      <c r="I149" s="2">
        <v>606</v>
      </c>
      <c r="J149" s="12">
        <f t="shared" si="44"/>
        <v>2424</v>
      </c>
      <c r="K149" s="5">
        <f t="shared" si="45"/>
        <v>34827.586206896551</v>
      </c>
      <c r="L149" s="2">
        <v>4</v>
      </c>
      <c r="M149" s="37">
        <f t="shared" si="47"/>
        <v>4</v>
      </c>
      <c r="N149" s="2"/>
      <c r="O149" s="32"/>
      <c r="P149" s="32">
        <f t="shared" si="35"/>
        <v>2424</v>
      </c>
      <c r="Q149" s="2"/>
      <c r="R149" s="2"/>
      <c r="S149" s="2"/>
      <c r="T149" s="2"/>
      <c r="U149" s="37">
        <f t="shared" si="40"/>
        <v>4</v>
      </c>
      <c r="V149" s="34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 spans="1:86">
      <c r="A150" s="35" t="s">
        <v>195</v>
      </c>
      <c r="B150" s="1" t="s">
        <v>196</v>
      </c>
      <c r="C150" s="1" t="s">
        <v>197</v>
      </c>
      <c r="D150" s="1"/>
      <c r="E150" s="2" t="s">
        <v>92</v>
      </c>
      <c r="F150" s="2">
        <v>120</v>
      </c>
      <c r="G150" s="2" t="s">
        <v>198</v>
      </c>
      <c r="H150" s="2">
        <v>58</v>
      </c>
      <c r="I150" s="2">
        <v>619</v>
      </c>
      <c r="J150" s="12">
        <f t="shared" si="44"/>
        <v>16713</v>
      </c>
      <c r="K150" s="5">
        <f t="shared" si="45"/>
        <v>240129.31034482757</v>
      </c>
      <c r="L150" s="2">
        <v>27</v>
      </c>
      <c r="M150" s="37">
        <f t="shared" si="47"/>
        <v>27</v>
      </c>
      <c r="N150" s="2"/>
      <c r="O150" s="32"/>
      <c r="P150" s="32">
        <f t="shared" si="35"/>
        <v>16713</v>
      </c>
      <c r="Q150" s="2"/>
      <c r="R150" s="2"/>
      <c r="S150" s="2"/>
      <c r="T150" s="2"/>
      <c r="U150" s="37">
        <f t="shared" si="40"/>
        <v>27</v>
      </c>
      <c r="V150" s="34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</row>
    <row r="151" spans="1:86">
      <c r="A151" s="35" t="s">
        <v>195</v>
      </c>
      <c r="B151" s="1" t="s">
        <v>196</v>
      </c>
      <c r="C151" s="1" t="s">
        <v>197</v>
      </c>
      <c r="D151" s="1"/>
      <c r="E151" s="2" t="s">
        <v>92</v>
      </c>
      <c r="F151" s="2">
        <v>120</v>
      </c>
      <c r="G151" s="2" t="s">
        <v>198</v>
      </c>
      <c r="H151" s="2">
        <v>58</v>
      </c>
      <c r="I151" s="2">
        <v>606</v>
      </c>
      <c r="J151" s="12">
        <f t="shared" si="44"/>
        <v>1818</v>
      </c>
      <c r="K151" s="5">
        <f t="shared" si="45"/>
        <v>26120.689655172409</v>
      </c>
      <c r="L151" s="2">
        <v>3</v>
      </c>
      <c r="M151" s="37">
        <f t="shared" si="47"/>
        <v>3</v>
      </c>
      <c r="N151" s="2"/>
      <c r="O151" s="32"/>
      <c r="P151" s="32">
        <f t="shared" si="35"/>
        <v>1818</v>
      </c>
      <c r="Q151" s="2"/>
      <c r="R151" s="2"/>
      <c r="S151" s="2"/>
      <c r="T151" s="2"/>
      <c r="U151" s="37">
        <f t="shared" si="40"/>
        <v>3</v>
      </c>
      <c r="V151" s="34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 spans="1:86">
      <c r="A152" s="35" t="s">
        <v>200</v>
      </c>
      <c r="B152" s="1" t="s">
        <v>193</v>
      </c>
      <c r="C152" s="1" t="s">
        <v>156</v>
      </c>
      <c r="D152" s="1"/>
      <c r="E152" s="2" t="s">
        <v>37</v>
      </c>
      <c r="F152" s="2">
        <v>280</v>
      </c>
      <c r="G152" s="2" t="s">
        <v>55</v>
      </c>
      <c r="H152" s="2">
        <v>79</v>
      </c>
      <c r="I152" s="2">
        <v>774</v>
      </c>
      <c r="J152" s="12">
        <f t="shared" ref="J152:J157" si="48">IFERROR(IF(AND(V152=3,U152&gt;0),I152,I152*U152),"Verify")</f>
        <v>4644</v>
      </c>
      <c r="K152" s="5">
        <f t="shared" si="45"/>
        <v>20994.575045207956</v>
      </c>
      <c r="L152" s="2">
        <v>6</v>
      </c>
      <c r="M152" s="37">
        <f t="shared" si="47"/>
        <v>6</v>
      </c>
      <c r="N152" s="2"/>
      <c r="O152" s="32"/>
      <c r="P152" s="32">
        <f t="shared" ref="P152:P190" si="49">+J152-O152</f>
        <v>4644</v>
      </c>
      <c r="Q152" s="2"/>
      <c r="R152" s="2"/>
      <c r="S152" s="2"/>
      <c r="T152" s="2"/>
      <c r="U152" s="37">
        <f t="shared" si="40"/>
        <v>6</v>
      </c>
      <c r="V152" s="34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</row>
    <row r="153" spans="1:86">
      <c r="A153" s="35" t="s">
        <v>201</v>
      </c>
      <c r="B153" s="1" t="s">
        <v>155</v>
      </c>
      <c r="C153" s="1" t="s">
        <v>155</v>
      </c>
      <c r="D153" s="1" t="s">
        <v>199</v>
      </c>
      <c r="E153" s="2" t="s">
        <v>37</v>
      </c>
      <c r="F153" s="2">
        <v>220</v>
      </c>
      <c r="G153" s="2" t="s">
        <v>55</v>
      </c>
      <c r="H153" s="2">
        <v>72</v>
      </c>
      <c r="I153" s="2">
        <v>681</v>
      </c>
      <c r="J153" s="12">
        <f t="shared" si="48"/>
        <v>12258</v>
      </c>
      <c r="K153" s="5">
        <f t="shared" si="45"/>
        <v>77386.363636363632</v>
      </c>
      <c r="L153" s="2">
        <v>22</v>
      </c>
      <c r="M153" s="37">
        <f t="shared" si="47"/>
        <v>18</v>
      </c>
      <c r="N153" s="2" t="s">
        <v>202</v>
      </c>
      <c r="O153" s="32">
        <f>2335</f>
        <v>2335</v>
      </c>
      <c r="P153" s="32">
        <f t="shared" si="49"/>
        <v>9923</v>
      </c>
      <c r="Q153" s="2"/>
      <c r="R153" s="2"/>
      <c r="S153" s="2"/>
      <c r="T153" s="2"/>
      <c r="U153" s="37">
        <f t="shared" si="40"/>
        <v>18</v>
      </c>
      <c r="V153" s="34"/>
      <c r="W153" s="2"/>
      <c r="X153" s="2">
        <v>4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 spans="1:86">
      <c r="A154" s="35">
        <v>45783</v>
      </c>
      <c r="B154" s="1" t="s">
        <v>203</v>
      </c>
      <c r="C154" s="1" t="s">
        <v>203</v>
      </c>
      <c r="D154" s="1" t="s">
        <v>204</v>
      </c>
      <c r="E154" s="2" t="s">
        <v>99</v>
      </c>
      <c r="F154" s="2">
        <v>255</v>
      </c>
      <c r="G154" s="2" t="s">
        <v>205</v>
      </c>
      <c r="H154" s="2">
        <v>70</v>
      </c>
      <c r="I154" s="2">
        <v>616</v>
      </c>
      <c r="J154" s="12">
        <f t="shared" si="48"/>
        <v>6160</v>
      </c>
      <c r="K154" s="5">
        <f t="shared" si="45"/>
        <v>34509.803921568622</v>
      </c>
      <c r="L154" s="2">
        <v>10</v>
      </c>
      <c r="M154" s="37">
        <f t="shared" si="47"/>
        <v>10</v>
      </c>
      <c r="N154" s="2"/>
      <c r="O154" s="32"/>
      <c r="P154" s="32">
        <f t="shared" si="49"/>
        <v>6160</v>
      </c>
      <c r="Q154" s="2"/>
      <c r="R154" s="2"/>
      <c r="S154" s="2"/>
      <c r="T154" s="2"/>
      <c r="U154" s="37">
        <f t="shared" si="40"/>
        <v>10</v>
      </c>
      <c r="V154" s="34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 spans="1:86">
      <c r="A155" s="35" t="s">
        <v>206</v>
      </c>
      <c r="B155" s="1" t="s">
        <v>172</v>
      </c>
      <c r="C155" s="1" t="s">
        <v>172</v>
      </c>
      <c r="D155" s="1"/>
      <c r="E155" s="2" t="s">
        <v>37</v>
      </c>
      <c r="F155" s="2">
        <v>400</v>
      </c>
      <c r="G155" s="2" t="s">
        <v>171</v>
      </c>
      <c r="H155" s="2">
        <v>69</v>
      </c>
      <c r="I155" s="2">
        <v>630.98</v>
      </c>
      <c r="J155" s="12">
        <f>IFERROR(IF(AND(V155=3,U155&gt;0),I155,I155*U155),"Verify")</f>
        <v>24608.22</v>
      </c>
      <c r="K155" s="5">
        <f t="shared" si="45"/>
        <v>89160.217391304352</v>
      </c>
      <c r="L155" s="2">
        <v>39</v>
      </c>
      <c r="M155" s="37">
        <f t="shared" si="47"/>
        <v>39</v>
      </c>
      <c r="N155" s="2"/>
      <c r="O155" s="32"/>
      <c r="P155" s="32">
        <f t="shared" si="49"/>
        <v>24608.22</v>
      </c>
      <c r="Q155" s="2"/>
      <c r="R155" s="2"/>
      <c r="S155" s="2"/>
      <c r="T155" s="2"/>
      <c r="U155" s="37">
        <f t="shared" si="40"/>
        <v>39</v>
      </c>
      <c r="V155" s="34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 spans="1:86">
      <c r="A156" s="35" t="s">
        <v>207</v>
      </c>
      <c r="B156" s="1" t="s">
        <v>208</v>
      </c>
      <c r="C156" s="1" t="s">
        <v>208</v>
      </c>
      <c r="D156" s="1"/>
      <c r="E156" s="2" t="s">
        <v>37</v>
      </c>
      <c r="F156" s="2">
        <v>350</v>
      </c>
      <c r="G156" s="2" t="s">
        <v>171</v>
      </c>
      <c r="H156" s="2">
        <v>69</v>
      </c>
      <c r="I156" s="2">
        <v>662.22</v>
      </c>
      <c r="J156" s="12">
        <f t="shared" si="48"/>
        <v>14568.84</v>
      </c>
      <c r="K156" s="5">
        <f t="shared" si="45"/>
        <v>60326.45962732919</v>
      </c>
      <c r="L156" s="2">
        <v>27</v>
      </c>
      <c r="M156" s="37">
        <f t="shared" si="47"/>
        <v>22</v>
      </c>
      <c r="N156" s="2"/>
      <c r="O156" s="32"/>
      <c r="P156" s="32">
        <f t="shared" si="49"/>
        <v>14568.84</v>
      </c>
      <c r="Q156" s="2"/>
      <c r="R156" s="2"/>
      <c r="S156" s="2"/>
      <c r="T156" s="2"/>
      <c r="U156" s="37">
        <f t="shared" si="40"/>
        <v>22</v>
      </c>
      <c r="V156" s="34"/>
      <c r="W156" s="2"/>
      <c r="X156" s="2"/>
      <c r="Y156" s="2"/>
      <c r="Z156" s="2"/>
      <c r="AA156" s="2"/>
      <c r="AB156" s="2">
        <v>1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>
        <v>4</v>
      </c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 spans="1:86">
      <c r="A157" s="35" t="s">
        <v>207</v>
      </c>
      <c r="B157" s="1" t="s">
        <v>172</v>
      </c>
      <c r="C157" s="1" t="s">
        <v>172</v>
      </c>
      <c r="D157" s="1"/>
      <c r="E157" s="2" t="s">
        <v>37</v>
      </c>
      <c r="F157" s="2">
        <v>400</v>
      </c>
      <c r="G157" s="2" t="s">
        <v>171</v>
      </c>
      <c r="H157" s="2">
        <v>69</v>
      </c>
      <c r="I157" s="2">
        <v>626.6</v>
      </c>
      <c r="J157" s="12">
        <f t="shared" si="48"/>
        <v>18171.400000000001</v>
      </c>
      <c r="K157" s="5">
        <f t="shared" si="45"/>
        <v>65838.405797101455</v>
      </c>
      <c r="L157" s="2">
        <v>29</v>
      </c>
      <c r="M157" s="37">
        <f t="shared" si="47"/>
        <v>29</v>
      </c>
      <c r="N157" s="2"/>
      <c r="O157" s="32"/>
      <c r="P157" s="32">
        <f t="shared" si="49"/>
        <v>18171.400000000001</v>
      </c>
      <c r="Q157" s="2"/>
      <c r="R157" s="2"/>
      <c r="S157" s="2"/>
      <c r="T157" s="2"/>
      <c r="U157" s="37">
        <f t="shared" si="40"/>
        <v>29</v>
      </c>
      <c r="V157" s="34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</row>
    <row r="158" spans="1:86">
      <c r="A158" s="35" t="s">
        <v>209</v>
      </c>
      <c r="B158" s="1" t="s">
        <v>181</v>
      </c>
      <c r="C158" s="1" t="s">
        <v>181</v>
      </c>
      <c r="D158" s="1"/>
      <c r="E158" s="2" t="s">
        <v>37</v>
      </c>
      <c r="F158" s="2">
        <v>350</v>
      </c>
      <c r="G158" s="2" t="s">
        <v>171</v>
      </c>
      <c r="H158" s="2">
        <v>136</v>
      </c>
      <c r="I158" s="2">
        <v>1309</v>
      </c>
      <c r="J158" s="12">
        <f t="shared" ref="J158:J179" si="50">IFERROR(IF(AND(V158=3,U158&gt;0),I158,I158*U158),"Verify")</f>
        <v>13090</v>
      </c>
      <c r="K158" s="5">
        <f t="shared" ref="K158:K179" si="51">+J158/(F158*H158*10^-5)</f>
        <v>27499.999999999996</v>
      </c>
      <c r="L158" s="2">
        <v>10</v>
      </c>
      <c r="M158" s="37">
        <f t="shared" ref="M158:M179" si="52">+L158-X158-Z158-AD158-AB158-AF158-AH158-AJ158-AL158-AO158-AQ158-AS158-AU158-AW158-AY158-BA158-BC158-BE158-BG158-BI158-BK158-BM158-BO158-BQ158-BS158-BU158-BW158-BY158-CA158-CC158-CE158-CG158</f>
        <v>10</v>
      </c>
      <c r="N158" s="2"/>
      <c r="O158" s="32"/>
      <c r="P158" s="32">
        <f t="shared" si="49"/>
        <v>13090</v>
      </c>
      <c r="Q158" s="2"/>
      <c r="R158" s="2"/>
      <c r="S158" s="2"/>
      <c r="T158" s="2"/>
      <c r="U158" s="37">
        <f t="shared" si="40"/>
        <v>10</v>
      </c>
      <c r="V158" s="34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 spans="1:86">
      <c r="A159" s="35" t="s">
        <v>209</v>
      </c>
      <c r="B159" s="1" t="s">
        <v>172</v>
      </c>
      <c r="C159" s="1" t="s">
        <v>172</v>
      </c>
      <c r="D159" s="1"/>
      <c r="E159" s="2" t="s">
        <v>37</v>
      </c>
      <c r="F159" s="2">
        <v>400</v>
      </c>
      <c r="G159" s="2" t="s">
        <v>171</v>
      </c>
      <c r="H159" s="2">
        <v>69</v>
      </c>
      <c r="I159" s="2">
        <v>626.52</v>
      </c>
      <c r="J159" s="12">
        <f t="shared" si="50"/>
        <v>626.52</v>
      </c>
      <c r="K159" s="5">
        <f t="shared" si="51"/>
        <v>2269.9999999999995</v>
      </c>
      <c r="L159" s="2">
        <v>1</v>
      </c>
      <c r="M159" s="37">
        <f t="shared" si="52"/>
        <v>1</v>
      </c>
      <c r="N159" s="2"/>
      <c r="O159" s="32"/>
      <c r="P159" s="32">
        <f t="shared" si="49"/>
        <v>626.52</v>
      </c>
      <c r="Q159" s="2"/>
      <c r="R159" s="2"/>
      <c r="S159" s="2"/>
      <c r="T159" s="2"/>
      <c r="U159" s="37">
        <f t="shared" si="40"/>
        <v>1</v>
      </c>
      <c r="V159" s="34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</row>
    <row r="160" spans="1:86">
      <c r="A160" s="35" t="s">
        <v>209</v>
      </c>
      <c r="B160" s="1" t="s">
        <v>184</v>
      </c>
      <c r="C160" s="1" t="s">
        <v>184</v>
      </c>
      <c r="D160" s="1"/>
      <c r="E160" s="2" t="s">
        <v>37</v>
      </c>
      <c r="F160" s="2">
        <v>450</v>
      </c>
      <c r="G160" s="2" t="s">
        <v>171</v>
      </c>
      <c r="H160" s="2">
        <v>136</v>
      </c>
      <c r="I160" s="2">
        <v>1254.5999999999999</v>
      </c>
      <c r="J160" s="12">
        <f t="shared" si="50"/>
        <v>8782.1999999999989</v>
      </c>
      <c r="K160" s="5">
        <f t="shared" si="51"/>
        <v>14349.999999999996</v>
      </c>
      <c r="L160" s="2">
        <v>7</v>
      </c>
      <c r="M160" s="37">
        <f t="shared" si="52"/>
        <v>7</v>
      </c>
      <c r="N160" s="2"/>
      <c r="O160" s="32"/>
      <c r="P160" s="32">
        <f t="shared" si="49"/>
        <v>8782.1999999999989</v>
      </c>
      <c r="Q160" s="2"/>
      <c r="R160" s="2"/>
      <c r="S160" s="2"/>
      <c r="T160" s="2"/>
      <c r="U160" s="37">
        <f t="shared" si="40"/>
        <v>7</v>
      </c>
      <c r="V160" s="34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</row>
    <row r="161" spans="1:86">
      <c r="A161" s="35" t="s">
        <v>209</v>
      </c>
      <c r="B161" s="1" t="s">
        <v>182</v>
      </c>
      <c r="C161" s="1" t="s">
        <v>182</v>
      </c>
      <c r="D161" s="1"/>
      <c r="E161" s="2" t="s">
        <v>37</v>
      </c>
      <c r="F161" s="2">
        <v>400</v>
      </c>
      <c r="G161" s="2" t="s">
        <v>171</v>
      </c>
      <c r="H161" s="2">
        <v>210</v>
      </c>
      <c r="I161" s="2">
        <v>1932</v>
      </c>
      <c r="J161" s="12">
        <f t="shared" si="50"/>
        <v>25116</v>
      </c>
      <c r="K161" s="5">
        <f t="shared" si="51"/>
        <v>29899.999999999996</v>
      </c>
      <c r="L161" s="2">
        <v>13</v>
      </c>
      <c r="M161" s="37">
        <f t="shared" si="52"/>
        <v>13</v>
      </c>
      <c r="N161" s="2"/>
      <c r="O161" s="32"/>
      <c r="P161" s="32">
        <f t="shared" si="49"/>
        <v>25116</v>
      </c>
      <c r="Q161" s="2"/>
      <c r="R161" s="2"/>
      <c r="S161" s="2"/>
      <c r="T161" s="2"/>
      <c r="U161" s="37">
        <f t="shared" si="40"/>
        <v>13</v>
      </c>
      <c r="V161" s="34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 spans="1:86">
      <c r="A162" s="35" t="s">
        <v>209</v>
      </c>
      <c r="B162" s="1" t="s">
        <v>210</v>
      </c>
      <c r="C162" s="1" t="s">
        <v>210</v>
      </c>
      <c r="D162" s="1"/>
      <c r="E162" s="2" t="s">
        <v>37</v>
      </c>
      <c r="F162" s="2">
        <v>350</v>
      </c>
      <c r="G162" s="2" t="s">
        <v>171</v>
      </c>
      <c r="H162" s="2">
        <v>210</v>
      </c>
      <c r="I162" s="2">
        <v>2013.03</v>
      </c>
      <c r="J162" s="12">
        <f t="shared" si="50"/>
        <v>12078.18</v>
      </c>
      <c r="K162" s="5">
        <f t="shared" si="51"/>
        <v>16432.897959183672</v>
      </c>
      <c r="L162" s="2">
        <v>6</v>
      </c>
      <c r="M162" s="37">
        <f t="shared" si="52"/>
        <v>6</v>
      </c>
      <c r="N162" s="2"/>
      <c r="O162" s="32"/>
      <c r="P162" s="32">
        <f t="shared" si="49"/>
        <v>12078.18</v>
      </c>
      <c r="Q162" s="2"/>
      <c r="R162" s="2"/>
      <c r="S162" s="2"/>
      <c r="T162" s="2"/>
      <c r="U162" s="37">
        <f t="shared" si="40"/>
        <v>6</v>
      </c>
      <c r="V162" s="34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 spans="1:86">
      <c r="A163" s="35" t="s">
        <v>209</v>
      </c>
      <c r="B163" s="1" t="s">
        <v>172</v>
      </c>
      <c r="C163" s="1" t="s">
        <v>172</v>
      </c>
      <c r="D163" s="1"/>
      <c r="E163" s="2" t="s">
        <v>37</v>
      </c>
      <c r="F163" s="2">
        <v>400</v>
      </c>
      <c r="G163" s="2" t="s">
        <v>171</v>
      </c>
      <c r="H163" s="2">
        <v>69</v>
      </c>
      <c r="I163" s="2">
        <v>634.79999999999995</v>
      </c>
      <c r="J163" s="12">
        <f t="shared" si="50"/>
        <v>634.79999999999995</v>
      </c>
      <c r="K163" s="5">
        <f t="shared" si="51"/>
        <v>2299.9999999999995</v>
      </c>
      <c r="L163" s="2">
        <v>1</v>
      </c>
      <c r="M163" s="37">
        <f t="shared" si="52"/>
        <v>1</v>
      </c>
      <c r="N163" s="2"/>
      <c r="O163" s="32"/>
      <c r="P163" s="32">
        <f t="shared" si="49"/>
        <v>634.79999999999995</v>
      </c>
      <c r="Q163" s="2"/>
      <c r="R163" s="2"/>
      <c r="S163" s="2"/>
      <c r="T163" s="2"/>
      <c r="U163" s="37">
        <f t="shared" si="40"/>
        <v>1</v>
      </c>
      <c r="V163" s="34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</row>
    <row r="164" spans="1:86">
      <c r="A164" s="35" t="s">
        <v>209</v>
      </c>
      <c r="B164" s="1" t="s">
        <v>182</v>
      </c>
      <c r="C164" s="1" t="s">
        <v>182</v>
      </c>
      <c r="D164" s="1"/>
      <c r="E164" s="2" t="s">
        <v>37</v>
      </c>
      <c r="F164" s="2">
        <v>400</v>
      </c>
      <c r="G164" s="2" t="s">
        <v>171</v>
      </c>
      <c r="H164" s="2">
        <v>210</v>
      </c>
      <c r="I164" s="2">
        <v>1932</v>
      </c>
      <c r="J164" s="12">
        <f t="shared" si="50"/>
        <v>5796</v>
      </c>
      <c r="K164" s="5">
        <f t="shared" si="51"/>
        <v>6899.9999999999991</v>
      </c>
      <c r="L164" s="2">
        <v>3</v>
      </c>
      <c r="M164" s="37">
        <f t="shared" si="52"/>
        <v>3</v>
      </c>
      <c r="N164" s="2"/>
      <c r="O164" s="32"/>
      <c r="P164" s="32">
        <f t="shared" si="49"/>
        <v>5796</v>
      </c>
      <c r="Q164" s="2"/>
      <c r="R164" s="2"/>
      <c r="S164" s="2"/>
      <c r="T164" s="2"/>
      <c r="U164" s="37">
        <f t="shared" si="40"/>
        <v>3</v>
      </c>
      <c r="V164" s="34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</row>
    <row r="165" spans="1:86">
      <c r="A165" s="35" t="s">
        <v>209</v>
      </c>
      <c r="B165" s="1" t="s">
        <v>182</v>
      </c>
      <c r="C165" s="1" t="s">
        <v>182</v>
      </c>
      <c r="D165" s="1"/>
      <c r="E165" s="2" t="s">
        <v>37</v>
      </c>
      <c r="F165" s="2">
        <v>400</v>
      </c>
      <c r="G165" s="2" t="s">
        <v>171</v>
      </c>
      <c r="H165" s="2">
        <v>210</v>
      </c>
      <c r="I165" s="2">
        <v>1932</v>
      </c>
      <c r="J165" s="12">
        <f t="shared" si="50"/>
        <v>25116</v>
      </c>
      <c r="K165" s="5">
        <f t="shared" si="51"/>
        <v>29899.999999999996</v>
      </c>
      <c r="L165" s="2">
        <v>13</v>
      </c>
      <c r="M165" s="37">
        <f t="shared" si="52"/>
        <v>13</v>
      </c>
      <c r="N165" s="2"/>
      <c r="O165" s="32"/>
      <c r="P165" s="32">
        <f t="shared" si="49"/>
        <v>25116</v>
      </c>
      <c r="Q165" s="2"/>
      <c r="R165" s="2"/>
      <c r="S165" s="2"/>
      <c r="T165" s="2"/>
      <c r="U165" s="37">
        <f t="shared" si="40"/>
        <v>13</v>
      </c>
      <c r="V165" s="34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 spans="1:86">
      <c r="A166" s="35" t="s">
        <v>209</v>
      </c>
      <c r="B166" s="1" t="s">
        <v>176</v>
      </c>
      <c r="C166" s="1" t="s">
        <v>176</v>
      </c>
      <c r="D166" s="1"/>
      <c r="E166" s="2" t="s">
        <v>37</v>
      </c>
      <c r="F166" s="2">
        <v>310</v>
      </c>
      <c r="G166" s="2" t="s">
        <v>171</v>
      </c>
      <c r="H166" s="2">
        <v>81</v>
      </c>
      <c r="I166" s="2">
        <v>776.3</v>
      </c>
      <c r="J166" s="12">
        <f t="shared" si="50"/>
        <v>9315.5999999999985</v>
      </c>
      <c r="K166" s="5">
        <f t="shared" si="51"/>
        <v>37099.163679808829</v>
      </c>
      <c r="L166" s="2">
        <v>12</v>
      </c>
      <c r="M166" s="37">
        <f t="shared" si="52"/>
        <v>12</v>
      </c>
      <c r="N166" s="2"/>
      <c r="O166" s="32"/>
      <c r="P166" s="32">
        <f t="shared" si="49"/>
        <v>9315.5999999999985</v>
      </c>
      <c r="Q166" s="2"/>
      <c r="R166" s="2"/>
      <c r="S166" s="2"/>
      <c r="T166" s="2"/>
      <c r="U166" s="37">
        <f t="shared" si="40"/>
        <v>12</v>
      </c>
      <c r="V166" s="34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</row>
    <row r="167" spans="1:86">
      <c r="A167" s="35" t="s">
        <v>209</v>
      </c>
      <c r="B167" s="1" t="s">
        <v>211</v>
      </c>
      <c r="C167" s="1" t="s">
        <v>211</v>
      </c>
      <c r="D167" s="1"/>
      <c r="E167" s="2" t="s">
        <v>37</v>
      </c>
      <c r="F167" s="2">
        <v>350</v>
      </c>
      <c r="G167" s="2" t="s">
        <v>171</v>
      </c>
      <c r="H167" s="2">
        <v>79</v>
      </c>
      <c r="I167" s="2">
        <v>759.35</v>
      </c>
      <c r="J167" s="12">
        <f t="shared" si="50"/>
        <v>3796.75</v>
      </c>
      <c r="K167" s="5">
        <f t="shared" si="51"/>
        <v>13731.464737793851</v>
      </c>
      <c r="L167" s="2">
        <v>6</v>
      </c>
      <c r="M167" s="37">
        <f t="shared" si="52"/>
        <v>5</v>
      </c>
      <c r="N167" s="2"/>
      <c r="O167" s="32"/>
      <c r="P167" s="32">
        <f t="shared" si="49"/>
        <v>3796.75</v>
      </c>
      <c r="Q167" s="2"/>
      <c r="R167" s="2"/>
      <c r="S167" s="2"/>
      <c r="T167" s="2"/>
      <c r="U167" s="37">
        <f t="shared" si="40"/>
        <v>5</v>
      </c>
      <c r="V167" s="34"/>
      <c r="W167" s="2"/>
      <c r="X167" s="2"/>
      <c r="Y167" s="2"/>
      <c r="Z167" s="2"/>
      <c r="AA167" s="2"/>
      <c r="AB167" s="2">
        <v>1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</row>
    <row r="168" spans="1:86">
      <c r="A168" s="35" t="s">
        <v>209</v>
      </c>
      <c r="B168" s="1" t="s">
        <v>177</v>
      </c>
      <c r="C168" s="1" t="s">
        <v>177</v>
      </c>
      <c r="D168" s="1"/>
      <c r="E168" s="2" t="s">
        <v>37</v>
      </c>
      <c r="F168" s="2">
        <v>310</v>
      </c>
      <c r="G168" s="2" t="s">
        <v>171</v>
      </c>
      <c r="H168" s="2">
        <v>84</v>
      </c>
      <c r="I168" s="2">
        <v>805.12</v>
      </c>
      <c r="J168" s="12">
        <f t="shared" si="50"/>
        <v>4025.6</v>
      </c>
      <c r="K168" s="5">
        <f t="shared" si="51"/>
        <v>15459.293394777264</v>
      </c>
      <c r="L168" s="2">
        <v>5</v>
      </c>
      <c r="M168" s="37">
        <f t="shared" si="52"/>
        <v>5</v>
      </c>
      <c r="N168" s="2"/>
      <c r="O168" s="32"/>
      <c r="P168" s="32">
        <f t="shared" si="49"/>
        <v>4025.6</v>
      </c>
      <c r="Q168" s="2"/>
      <c r="R168" s="2"/>
      <c r="S168" s="2"/>
      <c r="T168" s="2"/>
      <c r="U168" s="37">
        <f t="shared" si="40"/>
        <v>5</v>
      </c>
      <c r="V168" s="34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</row>
    <row r="169" spans="1:86">
      <c r="A169" s="35" t="s">
        <v>209</v>
      </c>
      <c r="B169" s="1" t="s">
        <v>178</v>
      </c>
      <c r="C169" s="1" t="s">
        <v>178</v>
      </c>
      <c r="D169" s="1"/>
      <c r="E169" s="2" t="s">
        <v>37</v>
      </c>
      <c r="F169" s="2">
        <v>400</v>
      </c>
      <c r="G169" s="2" t="s">
        <v>171</v>
      </c>
      <c r="H169" s="2">
        <v>94</v>
      </c>
      <c r="I169" s="2">
        <v>863.86</v>
      </c>
      <c r="J169" s="12">
        <f t="shared" si="50"/>
        <v>19868.78</v>
      </c>
      <c r="K169" s="5">
        <f t="shared" si="51"/>
        <v>52842.499999999985</v>
      </c>
      <c r="L169" s="2">
        <v>23</v>
      </c>
      <c r="M169" s="37">
        <f t="shared" si="52"/>
        <v>23</v>
      </c>
      <c r="N169" s="2"/>
      <c r="O169" s="32"/>
      <c r="P169" s="32">
        <f t="shared" si="49"/>
        <v>19868.78</v>
      </c>
      <c r="Q169" s="2"/>
      <c r="R169" s="2"/>
      <c r="S169" s="2"/>
      <c r="T169" s="2"/>
      <c r="U169" s="37">
        <f t="shared" si="40"/>
        <v>23</v>
      </c>
      <c r="V169" s="34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</row>
    <row r="170" spans="1:86">
      <c r="A170" s="35" t="s">
        <v>212</v>
      </c>
      <c r="B170" s="1" t="s">
        <v>213</v>
      </c>
      <c r="C170" s="1" t="s">
        <v>213</v>
      </c>
      <c r="D170" s="1"/>
      <c r="E170" s="2" t="s">
        <v>37</v>
      </c>
      <c r="F170" s="2">
        <v>350</v>
      </c>
      <c r="G170" s="2" t="s">
        <v>171</v>
      </c>
      <c r="H170" s="2">
        <v>67</v>
      </c>
      <c r="I170" s="2">
        <v>644.9</v>
      </c>
      <c r="J170" s="12">
        <f t="shared" si="50"/>
        <v>7093.9</v>
      </c>
      <c r="K170" s="5">
        <f t="shared" si="51"/>
        <v>30251.172707889124</v>
      </c>
      <c r="L170" s="2">
        <v>11</v>
      </c>
      <c r="M170" s="37">
        <f t="shared" si="52"/>
        <v>11</v>
      </c>
      <c r="N170" s="2"/>
      <c r="O170" s="32"/>
      <c r="P170" s="32">
        <f t="shared" si="49"/>
        <v>7093.9</v>
      </c>
      <c r="Q170" s="2"/>
      <c r="R170" s="2"/>
      <c r="S170" s="2"/>
      <c r="T170" s="2"/>
      <c r="U170" s="37">
        <f t="shared" si="40"/>
        <v>11</v>
      </c>
      <c r="V170" s="34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 spans="1:86">
      <c r="A171" s="35" t="s">
        <v>212</v>
      </c>
      <c r="B171" s="1" t="s">
        <v>181</v>
      </c>
      <c r="C171" s="1" t="s">
        <v>181</v>
      </c>
      <c r="D171" s="1"/>
      <c r="E171" s="2" t="s">
        <v>37</v>
      </c>
      <c r="F171" s="2">
        <v>350</v>
      </c>
      <c r="G171" s="2" t="s">
        <v>171</v>
      </c>
      <c r="H171" s="2">
        <v>136</v>
      </c>
      <c r="I171" s="2">
        <v>1309</v>
      </c>
      <c r="J171" s="12">
        <f t="shared" si="50"/>
        <v>23562</v>
      </c>
      <c r="K171" s="5">
        <f t="shared" si="51"/>
        <v>49500</v>
      </c>
      <c r="L171" s="2">
        <v>18</v>
      </c>
      <c r="M171" s="37">
        <f t="shared" si="52"/>
        <v>18</v>
      </c>
      <c r="N171" s="2"/>
      <c r="O171" s="32"/>
      <c r="P171" s="32">
        <f t="shared" si="49"/>
        <v>23562</v>
      </c>
      <c r="Q171" s="2"/>
      <c r="R171" s="2"/>
      <c r="S171" s="2"/>
      <c r="T171" s="2"/>
      <c r="U171" s="37">
        <f t="shared" si="40"/>
        <v>18</v>
      </c>
      <c r="V171" s="34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 spans="1:86">
      <c r="A172" s="35" t="s">
        <v>209</v>
      </c>
      <c r="B172" s="1" t="s">
        <v>176</v>
      </c>
      <c r="C172" s="1" t="s">
        <v>176</v>
      </c>
      <c r="D172" s="1"/>
      <c r="E172" s="2" t="s">
        <v>37</v>
      </c>
      <c r="F172" s="2">
        <v>310</v>
      </c>
      <c r="G172" s="2" t="s">
        <v>171</v>
      </c>
      <c r="H172" s="2">
        <v>81</v>
      </c>
      <c r="I172" s="2">
        <v>775.89</v>
      </c>
      <c r="J172" s="12">
        <f t="shared" si="50"/>
        <v>775.89</v>
      </c>
      <c r="K172" s="5">
        <f t="shared" si="51"/>
        <v>3089.9641577060925</v>
      </c>
      <c r="L172" s="2">
        <v>3</v>
      </c>
      <c r="M172" s="37">
        <f t="shared" si="52"/>
        <v>1</v>
      </c>
      <c r="N172" s="2"/>
      <c r="O172" s="32"/>
      <c r="P172" s="32">
        <f t="shared" si="49"/>
        <v>775.89</v>
      </c>
      <c r="Q172" s="2"/>
      <c r="R172" s="2"/>
      <c r="S172" s="2"/>
      <c r="T172" s="2"/>
      <c r="U172" s="37">
        <f t="shared" si="40"/>
        <v>1</v>
      </c>
      <c r="V172" s="34"/>
      <c r="W172" s="2"/>
      <c r="X172" s="2"/>
      <c r="Y172" s="2"/>
      <c r="Z172" s="2">
        <v>2</v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 spans="1:86">
      <c r="A173" s="35" t="s">
        <v>209</v>
      </c>
      <c r="B173" s="1" t="s">
        <v>177</v>
      </c>
      <c r="C173" s="1" t="s">
        <v>177</v>
      </c>
      <c r="D173" s="1"/>
      <c r="E173" s="2" t="s">
        <v>37</v>
      </c>
      <c r="F173" s="2">
        <v>310</v>
      </c>
      <c r="G173" s="2" t="s">
        <v>171</v>
      </c>
      <c r="H173" s="2">
        <v>84</v>
      </c>
      <c r="I173" s="2">
        <v>804.31</v>
      </c>
      <c r="J173" s="12">
        <f t="shared" si="50"/>
        <v>11260.34</v>
      </c>
      <c r="K173" s="5">
        <f t="shared" si="51"/>
        <v>43242.473118279566</v>
      </c>
      <c r="L173" s="2">
        <v>14</v>
      </c>
      <c r="M173" s="37">
        <f t="shared" si="52"/>
        <v>14</v>
      </c>
      <c r="N173" s="2"/>
      <c r="O173" s="32"/>
      <c r="P173" s="32">
        <f t="shared" si="49"/>
        <v>11260.34</v>
      </c>
      <c r="Q173" s="2"/>
      <c r="R173" s="2"/>
      <c r="S173" s="2"/>
      <c r="T173" s="2"/>
      <c r="U173" s="37">
        <f t="shared" si="40"/>
        <v>14</v>
      </c>
      <c r="V173" s="34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 spans="1:86">
      <c r="A174" s="35" t="s">
        <v>207</v>
      </c>
      <c r="B174" s="1" t="s">
        <v>214</v>
      </c>
      <c r="C174" s="1" t="s">
        <v>214</v>
      </c>
      <c r="D174" s="1"/>
      <c r="E174" s="2" t="s">
        <v>37</v>
      </c>
      <c r="F174" s="2">
        <v>400</v>
      </c>
      <c r="G174" s="2" t="s">
        <v>171</v>
      </c>
      <c r="H174" s="2">
        <v>67</v>
      </c>
      <c r="I174" s="2">
        <v>616.4</v>
      </c>
      <c r="J174" s="12">
        <f t="shared" si="50"/>
        <v>13560.8</v>
      </c>
      <c r="K174" s="5">
        <f t="shared" si="51"/>
        <v>50599.999999999993</v>
      </c>
      <c r="L174" s="2">
        <v>22</v>
      </c>
      <c r="M174" s="37">
        <f t="shared" si="52"/>
        <v>22</v>
      </c>
      <c r="N174" s="2"/>
      <c r="O174" s="32"/>
      <c r="P174" s="32">
        <f t="shared" si="49"/>
        <v>13560.8</v>
      </c>
      <c r="Q174" s="2"/>
      <c r="R174" s="2"/>
      <c r="S174" s="2"/>
      <c r="T174" s="2"/>
      <c r="U174" s="37">
        <f t="shared" si="40"/>
        <v>22</v>
      </c>
      <c r="V174" s="34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</row>
    <row r="175" spans="1:86">
      <c r="A175" s="35" t="s">
        <v>207</v>
      </c>
      <c r="B175" s="1" t="s">
        <v>213</v>
      </c>
      <c r="C175" s="1" t="s">
        <v>213</v>
      </c>
      <c r="D175" s="1"/>
      <c r="E175" s="2" t="s">
        <v>37</v>
      </c>
      <c r="F175" s="2">
        <v>350</v>
      </c>
      <c r="G175" s="2" t="s">
        <v>171</v>
      </c>
      <c r="H175" s="2">
        <v>67</v>
      </c>
      <c r="I175" s="2">
        <v>644.9</v>
      </c>
      <c r="J175" s="12">
        <f t="shared" si="50"/>
        <v>22571.5</v>
      </c>
      <c r="K175" s="5">
        <f t="shared" si="51"/>
        <v>96253.73134328358</v>
      </c>
      <c r="L175" s="2">
        <v>35</v>
      </c>
      <c r="M175" s="37">
        <f t="shared" si="52"/>
        <v>35</v>
      </c>
      <c r="N175" s="2"/>
      <c r="O175" s="32"/>
      <c r="P175" s="32">
        <f t="shared" si="49"/>
        <v>22571.5</v>
      </c>
      <c r="Q175" s="2"/>
      <c r="R175" s="2"/>
      <c r="S175" s="2"/>
      <c r="T175" s="2"/>
      <c r="U175" s="37">
        <f t="shared" si="40"/>
        <v>35</v>
      </c>
      <c r="V175" s="34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 spans="1:86">
      <c r="A176" s="35" t="s">
        <v>207</v>
      </c>
      <c r="B176" s="1" t="s">
        <v>181</v>
      </c>
      <c r="C176" s="1" t="s">
        <v>181</v>
      </c>
      <c r="D176" s="1"/>
      <c r="E176" s="2" t="s">
        <v>37</v>
      </c>
      <c r="F176" s="2">
        <v>350</v>
      </c>
      <c r="G176" s="2" t="s">
        <v>171</v>
      </c>
      <c r="H176" s="2">
        <v>136</v>
      </c>
      <c r="I176" s="2">
        <v>1309</v>
      </c>
      <c r="J176" s="12">
        <f t="shared" si="50"/>
        <v>10472</v>
      </c>
      <c r="K176" s="5">
        <f t="shared" si="51"/>
        <v>22000</v>
      </c>
      <c r="L176" s="2">
        <v>8</v>
      </c>
      <c r="M176" s="37">
        <f t="shared" si="52"/>
        <v>8</v>
      </c>
      <c r="N176" s="2"/>
      <c r="O176" s="32"/>
      <c r="P176" s="32">
        <f t="shared" si="49"/>
        <v>10472</v>
      </c>
      <c r="Q176" s="2"/>
      <c r="R176" s="2"/>
      <c r="S176" s="2"/>
      <c r="T176" s="2"/>
      <c r="U176" s="37">
        <f t="shared" si="40"/>
        <v>8</v>
      </c>
      <c r="V176" s="34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</row>
    <row r="177" spans="1:86">
      <c r="A177" s="35" t="s">
        <v>207</v>
      </c>
      <c r="B177" s="1" t="s">
        <v>182</v>
      </c>
      <c r="C177" s="1" t="s">
        <v>182</v>
      </c>
      <c r="D177" s="1"/>
      <c r="E177" s="2" t="s">
        <v>37</v>
      </c>
      <c r="F177" s="2">
        <v>400</v>
      </c>
      <c r="G177" s="2" t="s">
        <v>171</v>
      </c>
      <c r="H177" s="2">
        <v>210</v>
      </c>
      <c r="I177" s="2">
        <v>1932</v>
      </c>
      <c r="J177" s="12">
        <f t="shared" si="50"/>
        <v>13524</v>
      </c>
      <c r="K177" s="5">
        <f t="shared" si="51"/>
        <v>16099.999999999998</v>
      </c>
      <c r="L177" s="2">
        <v>7</v>
      </c>
      <c r="M177" s="37">
        <f t="shared" si="52"/>
        <v>7</v>
      </c>
      <c r="N177" s="2"/>
      <c r="O177" s="32"/>
      <c r="P177" s="32">
        <f t="shared" si="49"/>
        <v>13524</v>
      </c>
      <c r="Q177" s="2"/>
      <c r="R177" s="2"/>
      <c r="S177" s="2"/>
      <c r="T177" s="2"/>
      <c r="U177" s="37">
        <f t="shared" si="40"/>
        <v>7</v>
      </c>
      <c r="V177" s="34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 spans="1:86">
      <c r="A178" s="35">
        <v>45811</v>
      </c>
      <c r="B178" s="1" t="s">
        <v>215</v>
      </c>
      <c r="C178" s="1" t="s">
        <v>215</v>
      </c>
      <c r="D178" s="1"/>
      <c r="E178" s="2" t="s">
        <v>37</v>
      </c>
      <c r="F178" s="2">
        <v>450</v>
      </c>
      <c r="G178" s="2" t="s">
        <v>216</v>
      </c>
      <c r="H178" s="2">
        <v>99</v>
      </c>
      <c r="I178" s="2">
        <v>884</v>
      </c>
      <c r="J178" s="12">
        <f t="shared" si="50"/>
        <v>7956</v>
      </c>
      <c r="K178" s="5">
        <f t="shared" si="51"/>
        <v>17858.585858585855</v>
      </c>
      <c r="L178" s="2">
        <v>9</v>
      </c>
      <c r="M178" s="37">
        <f t="shared" si="52"/>
        <v>9</v>
      </c>
      <c r="N178" s="2"/>
      <c r="O178" s="32"/>
      <c r="P178" s="32">
        <f t="shared" si="49"/>
        <v>7956</v>
      </c>
      <c r="Q178" s="2"/>
      <c r="R178" s="2"/>
      <c r="S178" s="2"/>
      <c r="T178" s="2"/>
      <c r="U178" s="37">
        <f t="shared" si="40"/>
        <v>9</v>
      </c>
      <c r="V178" s="34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</row>
    <row r="179" spans="1:86">
      <c r="A179" s="35">
        <v>45811</v>
      </c>
      <c r="B179" s="1" t="s">
        <v>215</v>
      </c>
      <c r="C179" s="1" t="s">
        <v>215</v>
      </c>
      <c r="D179" s="1"/>
      <c r="E179" s="2" t="s">
        <v>37</v>
      </c>
      <c r="F179" s="2">
        <v>450</v>
      </c>
      <c r="G179" s="2" t="s">
        <v>216</v>
      </c>
      <c r="H179" s="2">
        <v>99</v>
      </c>
      <c r="I179" s="2">
        <v>885</v>
      </c>
      <c r="J179" s="12">
        <f t="shared" si="50"/>
        <v>1770</v>
      </c>
      <c r="K179" s="5">
        <f t="shared" si="51"/>
        <v>3973.0639730639723</v>
      </c>
      <c r="L179" s="2">
        <v>2</v>
      </c>
      <c r="M179" s="37">
        <f t="shared" si="52"/>
        <v>2</v>
      </c>
      <c r="N179" s="2"/>
      <c r="O179" s="32"/>
      <c r="P179" s="32">
        <f t="shared" si="49"/>
        <v>1770</v>
      </c>
      <c r="Q179" s="2"/>
      <c r="R179" s="2"/>
      <c r="S179" s="2"/>
      <c r="T179" s="2"/>
      <c r="U179" s="37">
        <f t="shared" si="40"/>
        <v>2</v>
      </c>
      <c r="V179" s="34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</row>
    <row r="180" spans="1:86">
      <c r="A180" s="35">
        <v>45811</v>
      </c>
      <c r="B180" s="1" t="s">
        <v>217</v>
      </c>
      <c r="C180" s="1" t="s">
        <v>218</v>
      </c>
      <c r="D180" s="1"/>
      <c r="E180" s="2" t="s">
        <v>37</v>
      </c>
      <c r="F180" s="2">
        <v>350</v>
      </c>
      <c r="G180" s="2" t="s">
        <v>216</v>
      </c>
      <c r="H180" s="2">
        <v>240</v>
      </c>
      <c r="I180" s="2">
        <v>2150</v>
      </c>
      <c r="J180" s="12">
        <f t="shared" ref="J180:J200" si="53">IFERROR(IF(AND(V180=3,U180&gt;0),I180,I180*U180),"Verify")</f>
        <v>6450</v>
      </c>
      <c r="K180" s="5">
        <f t="shared" ref="K180:K200" si="54">+J180/(F180*H180*10^-5)</f>
        <v>7678.5714285714275</v>
      </c>
      <c r="L180" s="2">
        <v>3</v>
      </c>
      <c r="M180" s="37">
        <f t="shared" ref="M180:M200" si="55">+L180-X180-Z180-AD180-AB180-AF180-AH180-AJ180-AL180-AO180-AQ180-AS180-AU180-AW180-AY180-BA180-BC180-BE180-BG180-BI180-BK180-BM180-BO180-BQ180-BS180-BU180-BW180-BY180-CA180-CC180-CE180-CG180</f>
        <v>3</v>
      </c>
      <c r="N180" s="2"/>
      <c r="O180" s="32"/>
      <c r="P180" s="32">
        <f t="shared" si="49"/>
        <v>6450</v>
      </c>
      <c r="Q180" s="2"/>
      <c r="R180" s="2"/>
      <c r="S180" s="2"/>
      <c r="T180" s="2"/>
      <c r="U180" s="37">
        <f t="shared" si="40"/>
        <v>3</v>
      </c>
      <c r="V180" s="34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 spans="1:86">
      <c r="A181" s="35">
        <v>45811</v>
      </c>
      <c r="B181" s="1" t="s">
        <v>217</v>
      </c>
      <c r="C181" s="1" t="s">
        <v>218</v>
      </c>
      <c r="D181" s="1"/>
      <c r="E181" s="2" t="s">
        <v>37</v>
      </c>
      <c r="F181" s="2">
        <v>350</v>
      </c>
      <c r="G181" s="2" t="s">
        <v>216</v>
      </c>
      <c r="H181" s="2">
        <v>240</v>
      </c>
      <c r="I181" s="2">
        <v>2171</v>
      </c>
      <c r="J181" s="12">
        <f t="shared" si="53"/>
        <v>6513</v>
      </c>
      <c r="K181" s="5">
        <f t="shared" si="54"/>
        <v>7753.5714285714275</v>
      </c>
      <c r="L181" s="2">
        <v>3</v>
      </c>
      <c r="M181" s="37">
        <f t="shared" si="55"/>
        <v>3</v>
      </c>
      <c r="N181" s="2"/>
      <c r="O181" s="32"/>
      <c r="P181" s="32">
        <f t="shared" si="49"/>
        <v>6513</v>
      </c>
      <c r="Q181" s="2"/>
      <c r="R181" s="2"/>
      <c r="S181" s="2"/>
      <c r="T181" s="2"/>
      <c r="U181" s="37">
        <f t="shared" si="40"/>
        <v>3</v>
      </c>
      <c r="V181" s="34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 spans="1:86">
      <c r="A182" s="35">
        <v>45811</v>
      </c>
      <c r="B182" s="1" t="s">
        <v>217</v>
      </c>
      <c r="C182" s="1" t="s">
        <v>218</v>
      </c>
      <c r="D182" s="1"/>
      <c r="E182" s="2" t="s">
        <v>37</v>
      </c>
      <c r="F182" s="2">
        <v>350</v>
      </c>
      <c r="G182" s="2" t="s">
        <v>216</v>
      </c>
      <c r="H182" s="2">
        <v>240</v>
      </c>
      <c r="I182" s="2">
        <v>2176</v>
      </c>
      <c r="J182" s="12">
        <f t="shared" si="53"/>
        <v>4352</v>
      </c>
      <c r="K182" s="5">
        <f t="shared" si="54"/>
        <v>5180.9523809523807</v>
      </c>
      <c r="L182" s="2">
        <v>2</v>
      </c>
      <c r="M182" s="37">
        <f t="shared" si="55"/>
        <v>2</v>
      </c>
      <c r="N182" s="2"/>
      <c r="O182" s="32"/>
      <c r="P182" s="32">
        <f t="shared" si="49"/>
        <v>4352</v>
      </c>
      <c r="Q182" s="2"/>
      <c r="R182" s="2"/>
      <c r="S182" s="2"/>
      <c r="T182" s="2"/>
      <c r="U182" s="37">
        <f t="shared" si="40"/>
        <v>2</v>
      </c>
      <c r="V182" s="34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  <row r="183" spans="1:86">
      <c r="A183" s="35">
        <v>45812</v>
      </c>
      <c r="B183" s="1" t="s">
        <v>60</v>
      </c>
      <c r="C183" s="1" t="s">
        <v>60</v>
      </c>
      <c r="D183" s="1"/>
      <c r="E183" s="2" t="s">
        <v>37</v>
      </c>
      <c r="F183" s="2">
        <v>400</v>
      </c>
      <c r="G183" s="2" t="s">
        <v>216</v>
      </c>
      <c r="H183" s="2">
        <v>236</v>
      </c>
      <c r="I183" s="2">
        <v>2096</v>
      </c>
      <c r="J183" s="12">
        <f t="shared" si="53"/>
        <v>6288</v>
      </c>
      <c r="K183" s="5">
        <f t="shared" si="54"/>
        <v>6661.0169491525421</v>
      </c>
      <c r="L183" s="2">
        <v>3</v>
      </c>
      <c r="M183" s="37">
        <f t="shared" si="55"/>
        <v>3</v>
      </c>
      <c r="N183" s="2"/>
      <c r="O183" s="32"/>
      <c r="P183" s="32">
        <f t="shared" si="49"/>
        <v>6288</v>
      </c>
      <c r="Q183" s="2"/>
      <c r="R183" s="2"/>
      <c r="S183" s="2"/>
      <c r="T183" s="2"/>
      <c r="U183" s="37">
        <f t="shared" si="40"/>
        <v>3</v>
      </c>
      <c r="V183" s="34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</row>
    <row r="184" spans="1:86">
      <c r="A184" s="35">
        <v>45812</v>
      </c>
      <c r="B184" s="1" t="s">
        <v>60</v>
      </c>
      <c r="C184" s="1" t="s">
        <v>60</v>
      </c>
      <c r="D184" s="1"/>
      <c r="E184" s="2" t="s">
        <v>37</v>
      </c>
      <c r="F184" s="2">
        <v>400</v>
      </c>
      <c r="G184" s="2" t="s">
        <v>216</v>
      </c>
      <c r="H184" s="2">
        <v>236</v>
      </c>
      <c r="I184" s="2">
        <v>2105</v>
      </c>
      <c r="J184" s="12">
        <f t="shared" si="53"/>
        <v>8420</v>
      </c>
      <c r="K184" s="5">
        <f t="shared" si="54"/>
        <v>8919.4915254237276</v>
      </c>
      <c r="L184" s="2">
        <v>4</v>
      </c>
      <c r="M184" s="37">
        <f t="shared" si="55"/>
        <v>4</v>
      </c>
      <c r="N184" s="2"/>
      <c r="O184" s="32"/>
      <c r="P184" s="32">
        <f t="shared" si="49"/>
        <v>8420</v>
      </c>
      <c r="Q184" s="2"/>
      <c r="R184" s="2"/>
      <c r="S184" s="2"/>
      <c r="T184" s="2"/>
      <c r="U184" s="37">
        <f t="shared" si="40"/>
        <v>4</v>
      </c>
      <c r="V184" s="34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</row>
    <row r="185" spans="1:86">
      <c r="A185" s="35">
        <v>45812</v>
      </c>
      <c r="B185" s="1" t="s">
        <v>60</v>
      </c>
      <c r="C185" s="1" t="s">
        <v>60</v>
      </c>
      <c r="D185" s="1"/>
      <c r="E185" s="2" t="s">
        <v>37</v>
      </c>
      <c r="F185" s="2">
        <v>400</v>
      </c>
      <c r="G185" s="2" t="s">
        <v>216</v>
      </c>
      <c r="H185" s="2">
        <v>236</v>
      </c>
      <c r="I185" s="2">
        <v>2109</v>
      </c>
      <c r="J185" s="12">
        <f t="shared" si="53"/>
        <v>2109</v>
      </c>
      <c r="K185" s="5">
        <f t="shared" si="54"/>
        <v>2234.1101694915251</v>
      </c>
      <c r="L185" s="2">
        <v>1</v>
      </c>
      <c r="M185" s="37">
        <f t="shared" si="55"/>
        <v>1</v>
      </c>
      <c r="N185" s="2"/>
      <c r="O185" s="32"/>
      <c r="P185" s="32">
        <f t="shared" si="49"/>
        <v>2109</v>
      </c>
      <c r="Q185" s="2"/>
      <c r="R185" s="2"/>
      <c r="S185" s="2"/>
      <c r="T185" s="2"/>
      <c r="U185" s="37">
        <f t="shared" si="40"/>
        <v>1</v>
      </c>
      <c r="V185" s="34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</row>
    <row r="186" spans="1:86">
      <c r="A186" s="35">
        <v>45812</v>
      </c>
      <c r="B186" s="1" t="s">
        <v>60</v>
      </c>
      <c r="C186" s="1" t="s">
        <v>60</v>
      </c>
      <c r="D186" s="1"/>
      <c r="E186" s="2" t="s">
        <v>37</v>
      </c>
      <c r="F186" s="2">
        <v>400</v>
      </c>
      <c r="G186" s="2" t="s">
        <v>216</v>
      </c>
      <c r="H186" s="2">
        <v>236</v>
      </c>
      <c r="I186" s="2">
        <v>2107</v>
      </c>
      <c r="J186" s="12">
        <f t="shared" si="53"/>
        <v>6321</v>
      </c>
      <c r="K186" s="5">
        <f t="shared" si="54"/>
        <v>6695.9745762711864</v>
      </c>
      <c r="L186" s="2">
        <v>3</v>
      </c>
      <c r="M186" s="37">
        <f t="shared" si="55"/>
        <v>3</v>
      </c>
      <c r="N186" s="2"/>
      <c r="O186" s="32"/>
      <c r="P186" s="32">
        <f t="shared" si="49"/>
        <v>6321</v>
      </c>
      <c r="Q186" s="2"/>
      <c r="R186" s="2"/>
      <c r="S186" s="2"/>
      <c r="T186" s="2"/>
      <c r="U186" s="37">
        <f t="shared" si="40"/>
        <v>3</v>
      </c>
      <c r="V186" s="34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</row>
    <row r="187" spans="1:86">
      <c r="A187" s="35">
        <v>45812</v>
      </c>
      <c r="B187" s="1" t="s">
        <v>219</v>
      </c>
      <c r="C187" s="1" t="s">
        <v>219</v>
      </c>
      <c r="D187" s="1"/>
      <c r="E187" s="2" t="s">
        <v>37</v>
      </c>
      <c r="F187" s="2">
        <v>450</v>
      </c>
      <c r="G187" s="2" t="s">
        <v>216</v>
      </c>
      <c r="H187" s="2">
        <v>67</v>
      </c>
      <c r="I187" s="2">
        <v>594</v>
      </c>
      <c r="J187" s="12">
        <f t="shared" si="53"/>
        <v>1188</v>
      </c>
      <c r="K187" s="5">
        <f t="shared" si="54"/>
        <v>3940.2985074626858</v>
      </c>
      <c r="L187" s="2">
        <v>2</v>
      </c>
      <c r="M187" s="37">
        <f t="shared" si="55"/>
        <v>2</v>
      </c>
      <c r="N187" s="2"/>
      <c r="O187" s="32"/>
      <c r="P187" s="32">
        <f t="shared" si="49"/>
        <v>1188</v>
      </c>
      <c r="Q187" s="2"/>
      <c r="R187" s="2"/>
      <c r="S187" s="2"/>
      <c r="T187" s="2"/>
      <c r="U187" s="37">
        <f t="shared" si="40"/>
        <v>2</v>
      </c>
      <c r="V187" s="34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 spans="1:86">
      <c r="A188" s="35">
        <v>45812</v>
      </c>
      <c r="B188" s="1" t="s">
        <v>219</v>
      </c>
      <c r="C188" s="1" t="s">
        <v>219</v>
      </c>
      <c r="D188" s="1"/>
      <c r="E188" s="2" t="s">
        <v>37</v>
      </c>
      <c r="F188" s="2">
        <v>450</v>
      </c>
      <c r="G188" s="2" t="s">
        <v>216</v>
      </c>
      <c r="H188" s="2">
        <v>67</v>
      </c>
      <c r="I188" s="2">
        <v>601</v>
      </c>
      <c r="J188" s="12">
        <f t="shared" si="53"/>
        <v>1803</v>
      </c>
      <c r="K188" s="5">
        <f t="shared" si="54"/>
        <v>5980.099502487561</v>
      </c>
      <c r="L188" s="2">
        <v>3</v>
      </c>
      <c r="M188" s="37">
        <f t="shared" si="55"/>
        <v>3</v>
      </c>
      <c r="N188" s="2"/>
      <c r="O188" s="32"/>
      <c r="P188" s="32">
        <f t="shared" si="49"/>
        <v>1803</v>
      </c>
      <c r="Q188" s="2"/>
      <c r="R188" s="2"/>
      <c r="S188" s="2"/>
      <c r="T188" s="2"/>
      <c r="U188" s="37">
        <f t="shared" ref="U188:U233" si="56">+L188-X188-Z188-AD188-AB188-AF188-AH188-AJ188-AL188-AO188-AQ188-AS188-AU188-AW188-AY188-BA188-BC188-BE188-BG188-BI188-BK188-BM188-BO188-BQ188-BS188-BU188-BW188-BY188-CA188-CC188-CE188-CG188</f>
        <v>3</v>
      </c>
      <c r="V188" s="34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</row>
    <row r="189" spans="1:86">
      <c r="A189" s="35">
        <v>45812</v>
      </c>
      <c r="B189" s="1" t="s">
        <v>62</v>
      </c>
      <c r="C189" s="1" t="s">
        <v>62</v>
      </c>
      <c r="D189" s="1"/>
      <c r="E189" s="2" t="s">
        <v>37</v>
      </c>
      <c r="F189" s="2">
        <v>400</v>
      </c>
      <c r="G189" s="2" t="s">
        <v>216</v>
      </c>
      <c r="H189" s="2">
        <v>67</v>
      </c>
      <c r="I189" s="2">
        <v>594</v>
      </c>
      <c r="J189" s="12">
        <f t="shared" si="53"/>
        <v>6534</v>
      </c>
      <c r="K189" s="5">
        <f t="shared" si="54"/>
        <v>24380.59701492537</v>
      </c>
      <c r="L189" s="2">
        <v>11</v>
      </c>
      <c r="M189" s="37">
        <f t="shared" si="55"/>
        <v>11</v>
      </c>
      <c r="N189" s="2"/>
      <c r="O189" s="32"/>
      <c r="P189" s="32">
        <f t="shared" si="49"/>
        <v>6534</v>
      </c>
      <c r="Q189" s="2"/>
      <c r="R189" s="2"/>
      <c r="S189" s="2"/>
      <c r="T189" s="2"/>
      <c r="U189" s="37">
        <f t="shared" si="56"/>
        <v>11</v>
      </c>
      <c r="V189" s="34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</row>
    <row r="190" spans="1:86">
      <c r="A190" s="35">
        <v>45812</v>
      </c>
      <c r="B190" s="1" t="s">
        <v>62</v>
      </c>
      <c r="C190" s="1" t="s">
        <v>62</v>
      </c>
      <c r="D190" s="1"/>
      <c r="E190" s="2" t="s">
        <v>37</v>
      </c>
      <c r="F190" s="2">
        <v>400</v>
      </c>
      <c r="G190" s="2" t="s">
        <v>216</v>
      </c>
      <c r="H190" s="2">
        <v>67</v>
      </c>
      <c r="I190" s="2">
        <v>598</v>
      </c>
      <c r="J190" s="12">
        <f t="shared" si="53"/>
        <v>598</v>
      </c>
      <c r="K190" s="5">
        <f t="shared" si="54"/>
        <v>2231.3432835820895</v>
      </c>
      <c r="L190" s="2">
        <v>1</v>
      </c>
      <c r="M190" s="37">
        <f t="shared" si="55"/>
        <v>1</v>
      </c>
      <c r="N190" s="2"/>
      <c r="O190" s="32"/>
      <c r="P190" s="32">
        <f t="shared" si="49"/>
        <v>598</v>
      </c>
      <c r="Q190" s="2"/>
      <c r="R190" s="2"/>
      <c r="S190" s="2"/>
      <c r="T190" s="2"/>
      <c r="U190" s="37">
        <f t="shared" si="56"/>
        <v>1</v>
      </c>
      <c r="V190" s="34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</row>
    <row r="191" spans="1:86">
      <c r="A191" s="35">
        <v>45812</v>
      </c>
      <c r="B191" s="1" t="s">
        <v>220</v>
      </c>
      <c r="C191" s="1" t="s">
        <v>220</v>
      </c>
      <c r="D191" s="1"/>
      <c r="E191" s="2" t="s">
        <v>37</v>
      </c>
      <c r="F191" s="2">
        <v>400</v>
      </c>
      <c r="G191" s="2" t="s">
        <v>216</v>
      </c>
      <c r="H191" s="2">
        <v>136</v>
      </c>
      <c r="I191" s="2">
        <v>1219</v>
      </c>
      <c r="J191" s="12">
        <f t="shared" si="53"/>
        <v>1219</v>
      </c>
      <c r="K191" s="5">
        <f t="shared" si="54"/>
        <v>2240.8088235294117</v>
      </c>
      <c r="L191" s="2">
        <v>1</v>
      </c>
      <c r="M191" s="37">
        <f t="shared" si="55"/>
        <v>1</v>
      </c>
      <c r="N191" s="2"/>
      <c r="O191" s="32"/>
      <c r="P191" s="32">
        <f t="shared" ref="P191:P239" si="57">+J191-O191</f>
        <v>1219</v>
      </c>
      <c r="Q191" s="2"/>
      <c r="R191" s="2"/>
      <c r="S191" s="2"/>
      <c r="T191" s="2"/>
      <c r="U191" s="37">
        <f t="shared" si="56"/>
        <v>1</v>
      </c>
      <c r="V191" s="34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</row>
    <row r="192" spans="1:86">
      <c r="A192" s="35">
        <v>45812</v>
      </c>
      <c r="B192" s="1" t="s">
        <v>220</v>
      </c>
      <c r="C192" s="1" t="s">
        <v>220</v>
      </c>
      <c r="D192" s="1"/>
      <c r="E192" s="2" t="s">
        <v>37</v>
      </c>
      <c r="F192" s="2">
        <v>400</v>
      </c>
      <c r="G192" s="2" t="s">
        <v>216</v>
      </c>
      <c r="H192" s="2">
        <v>136</v>
      </c>
      <c r="I192" s="2">
        <v>1210</v>
      </c>
      <c r="J192" s="12">
        <f t="shared" si="53"/>
        <v>6050</v>
      </c>
      <c r="K192" s="5">
        <f t="shared" si="54"/>
        <v>11121.323529411764</v>
      </c>
      <c r="L192" s="2">
        <v>5</v>
      </c>
      <c r="M192" s="37">
        <f t="shared" si="55"/>
        <v>5</v>
      </c>
      <c r="N192" s="2"/>
      <c r="O192" s="32"/>
      <c r="P192" s="32">
        <f t="shared" si="57"/>
        <v>6050</v>
      </c>
      <c r="Q192" s="2"/>
      <c r="R192" s="2"/>
      <c r="S192" s="2"/>
      <c r="T192" s="2"/>
      <c r="U192" s="37">
        <f t="shared" si="56"/>
        <v>5</v>
      </c>
      <c r="V192" s="34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</row>
    <row r="193" spans="1:86">
      <c r="A193" s="35">
        <v>45812</v>
      </c>
      <c r="B193" s="1" t="s">
        <v>221</v>
      </c>
      <c r="C193" s="1" t="s">
        <v>221</v>
      </c>
      <c r="D193" s="1"/>
      <c r="E193" s="2" t="s">
        <v>37</v>
      </c>
      <c r="F193" s="2">
        <v>400</v>
      </c>
      <c r="G193" s="2" t="s">
        <v>216</v>
      </c>
      <c r="H193" s="2">
        <v>146</v>
      </c>
      <c r="I193" s="2">
        <v>1294</v>
      </c>
      <c r="J193" s="12">
        <f t="shared" si="53"/>
        <v>2588</v>
      </c>
      <c r="K193" s="5">
        <f t="shared" si="54"/>
        <v>4431.5068493150675</v>
      </c>
      <c r="L193" s="2">
        <v>2</v>
      </c>
      <c r="M193" s="37">
        <f t="shared" si="55"/>
        <v>2</v>
      </c>
      <c r="N193" s="2"/>
      <c r="O193" s="32"/>
      <c r="P193" s="32">
        <f t="shared" si="57"/>
        <v>2588</v>
      </c>
      <c r="Q193" s="2"/>
      <c r="R193" s="2"/>
      <c r="S193" s="2"/>
      <c r="T193" s="2"/>
      <c r="U193" s="37">
        <f t="shared" si="56"/>
        <v>2</v>
      </c>
      <c r="V193" s="34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 spans="1:86">
      <c r="A194" s="35">
        <v>45812</v>
      </c>
      <c r="B194" s="1" t="s">
        <v>60</v>
      </c>
      <c r="C194" s="1" t="s">
        <v>60</v>
      </c>
      <c r="D194" s="1"/>
      <c r="E194" s="2" t="s">
        <v>37</v>
      </c>
      <c r="F194" s="2">
        <v>400</v>
      </c>
      <c r="G194" s="2" t="s">
        <v>216</v>
      </c>
      <c r="H194" s="2">
        <v>236</v>
      </c>
      <c r="I194" s="2">
        <v>2107</v>
      </c>
      <c r="J194" s="12">
        <f t="shared" si="53"/>
        <v>4214</v>
      </c>
      <c r="K194" s="5">
        <f t="shared" si="54"/>
        <v>4463.983050847457</v>
      </c>
      <c r="L194" s="2">
        <v>2</v>
      </c>
      <c r="M194" s="37">
        <f t="shared" si="55"/>
        <v>2</v>
      </c>
      <c r="N194" s="2"/>
      <c r="O194" s="32"/>
      <c r="P194" s="32">
        <f t="shared" si="57"/>
        <v>4214</v>
      </c>
      <c r="Q194" s="2"/>
      <c r="R194" s="2"/>
      <c r="S194" s="2"/>
      <c r="T194" s="2"/>
      <c r="U194" s="37">
        <f t="shared" si="56"/>
        <v>2</v>
      </c>
      <c r="V194" s="34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</row>
    <row r="195" spans="1:86">
      <c r="A195" s="35">
        <v>45812</v>
      </c>
      <c r="B195" s="1" t="s">
        <v>60</v>
      </c>
      <c r="C195" s="1" t="s">
        <v>60</v>
      </c>
      <c r="D195" s="1"/>
      <c r="E195" s="2" t="s">
        <v>37</v>
      </c>
      <c r="F195" s="2">
        <v>400</v>
      </c>
      <c r="G195" s="2" t="s">
        <v>216</v>
      </c>
      <c r="H195" s="2">
        <v>236</v>
      </c>
      <c r="I195" s="2">
        <v>2110</v>
      </c>
      <c r="J195" s="12">
        <f t="shared" si="53"/>
        <v>2110</v>
      </c>
      <c r="K195" s="5">
        <f t="shared" si="54"/>
        <v>2235.1694915254234</v>
      </c>
      <c r="L195" s="2">
        <v>1</v>
      </c>
      <c r="M195" s="37">
        <f t="shared" si="55"/>
        <v>1</v>
      </c>
      <c r="N195" s="2"/>
      <c r="O195" s="32"/>
      <c r="P195" s="32">
        <f t="shared" si="57"/>
        <v>2110</v>
      </c>
      <c r="Q195" s="2"/>
      <c r="R195" s="2"/>
      <c r="S195" s="2"/>
      <c r="T195" s="2"/>
      <c r="U195" s="37">
        <f t="shared" si="56"/>
        <v>1</v>
      </c>
      <c r="V195" s="34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</row>
    <row r="196" spans="1:86">
      <c r="A196" s="35" t="s">
        <v>222</v>
      </c>
      <c r="B196" s="1" t="s">
        <v>62</v>
      </c>
      <c r="C196" s="1" t="s">
        <v>62</v>
      </c>
      <c r="D196" s="1"/>
      <c r="E196" s="2" t="s">
        <v>37</v>
      </c>
      <c r="F196" s="2">
        <v>400</v>
      </c>
      <c r="G196" s="2" t="s">
        <v>216</v>
      </c>
      <c r="H196" s="2">
        <v>67</v>
      </c>
      <c r="I196" s="2">
        <v>595</v>
      </c>
      <c r="J196" s="12">
        <f t="shared" si="53"/>
        <v>1190</v>
      </c>
      <c r="K196" s="5">
        <f t="shared" si="54"/>
        <v>4440.2985074626868</v>
      </c>
      <c r="L196" s="2">
        <v>2</v>
      </c>
      <c r="M196" s="37">
        <f t="shared" si="55"/>
        <v>2</v>
      </c>
      <c r="N196" s="2"/>
      <c r="O196" s="32"/>
      <c r="P196" s="32">
        <f t="shared" si="57"/>
        <v>1190</v>
      </c>
      <c r="Q196" s="2"/>
      <c r="R196" s="2"/>
      <c r="S196" s="2"/>
      <c r="T196" s="2"/>
      <c r="U196" s="37">
        <f t="shared" si="56"/>
        <v>2</v>
      </c>
      <c r="V196" s="34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</row>
    <row r="197" spans="1:86">
      <c r="A197" s="35" t="s">
        <v>222</v>
      </c>
      <c r="B197" s="1" t="s">
        <v>220</v>
      </c>
      <c r="C197" s="1" t="s">
        <v>220</v>
      </c>
      <c r="D197" s="1"/>
      <c r="E197" s="2" t="s">
        <v>37</v>
      </c>
      <c r="F197" s="2">
        <v>400</v>
      </c>
      <c r="G197" s="2" t="s">
        <v>216</v>
      </c>
      <c r="H197" s="2">
        <v>136</v>
      </c>
      <c r="I197" s="2">
        <v>1205</v>
      </c>
      <c r="J197" s="12">
        <f t="shared" si="53"/>
        <v>6025</v>
      </c>
      <c r="K197" s="5">
        <f t="shared" si="54"/>
        <v>11075.367647058823</v>
      </c>
      <c r="L197" s="2">
        <v>5</v>
      </c>
      <c r="M197" s="37">
        <f t="shared" si="55"/>
        <v>5</v>
      </c>
      <c r="N197" s="2"/>
      <c r="O197" s="32"/>
      <c r="P197" s="32">
        <f t="shared" si="57"/>
        <v>6025</v>
      </c>
      <c r="Q197" s="2"/>
      <c r="R197" s="2"/>
      <c r="S197" s="2"/>
      <c r="T197" s="2"/>
      <c r="U197" s="37">
        <f t="shared" si="56"/>
        <v>5</v>
      </c>
      <c r="V197" s="34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</row>
    <row r="198" spans="1:86">
      <c r="A198" s="35" t="s">
        <v>222</v>
      </c>
      <c r="B198" s="1" t="s">
        <v>220</v>
      </c>
      <c r="C198" s="1" t="s">
        <v>220</v>
      </c>
      <c r="D198" s="1"/>
      <c r="E198" s="2" t="s">
        <v>37</v>
      </c>
      <c r="F198" s="2">
        <v>400</v>
      </c>
      <c r="G198" s="2" t="s">
        <v>216</v>
      </c>
      <c r="H198" s="2">
        <v>136</v>
      </c>
      <c r="I198" s="2">
        <v>1210</v>
      </c>
      <c r="J198" s="12">
        <f t="shared" si="53"/>
        <v>12100</v>
      </c>
      <c r="K198" s="5">
        <f t="shared" si="54"/>
        <v>22242.647058823528</v>
      </c>
      <c r="L198" s="2">
        <v>10</v>
      </c>
      <c r="M198" s="37">
        <f t="shared" si="55"/>
        <v>10</v>
      </c>
      <c r="N198" s="2"/>
      <c r="O198" s="32"/>
      <c r="P198" s="32">
        <f t="shared" si="57"/>
        <v>12100</v>
      </c>
      <c r="Q198" s="2"/>
      <c r="R198" s="2"/>
      <c r="S198" s="2"/>
      <c r="T198" s="2"/>
      <c r="U198" s="37">
        <f t="shared" si="56"/>
        <v>10</v>
      </c>
      <c r="V198" s="34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</row>
    <row r="199" spans="1:86">
      <c r="A199" s="35" t="s">
        <v>222</v>
      </c>
      <c r="B199" s="1" t="s">
        <v>220</v>
      </c>
      <c r="C199" s="1" t="s">
        <v>220</v>
      </c>
      <c r="D199" s="1"/>
      <c r="E199" s="2" t="s">
        <v>37</v>
      </c>
      <c r="F199" s="2">
        <v>400</v>
      </c>
      <c r="G199" s="2" t="s">
        <v>216</v>
      </c>
      <c r="H199" s="2">
        <v>136</v>
      </c>
      <c r="I199" s="2">
        <v>1219</v>
      </c>
      <c r="J199" s="12">
        <f t="shared" si="53"/>
        <v>3657</v>
      </c>
      <c r="K199" s="5">
        <f t="shared" si="54"/>
        <v>6722.4264705882351</v>
      </c>
      <c r="L199" s="2">
        <v>3</v>
      </c>
      <c r="M199" s="37">
        <f t="shared" si="55"/>
        <v>3</v>
      </c>
      <c r="N199" s="2"/>
      <c r="O199" s="32"/>
      <c r="P199" s="32">
        <f t="shared" si="57"/>
        <v>3657</v>
      </c>
      <c r="Q199" s="2"/>
      <c r="R199" s="2"/>
      <c r="S199" s="2"/>
      <c r="T199" s="2"/>
      <c r="U199" s="37">
        <f t="shared" si="56"/>
        <v>3</v>
      </c>
      <c r="V199" s="34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 spans="1:86">
      <c r="A200" s="35" t="s">
        <v>223</v>
      </c>
      <c r="B200" s="1" t="s">
        <v>60</v>
      </c>
      <c r="C200" s="1" t="s">
        <v>60</v>
      </c>
      <c r="D200" s="1"/>
      <c r="E200" s="2" t="s">
        <v>37</v>
      </c>
      <c r="F200" s="2">
        <v>400</v>
      </c>
      <c r="G200" s="2" t="s">
        <v>216</v>
      </c>
      <c r="H200" s="2">
        <v>236</v>
      </c>
      <c r="I200" s="2">
        <v>2115</v>
      </c>
      <c r="J200" s="12">
        <f t="shared" si="53"/>
        <v>23265</v>
      </c>
      <c r="K200" s="5">
        <f t="shared" si="54"/>
        <v>24645.127118644064</v>
      </c>
      <c r="L200" s="2">
        <v>11</v>
      </c>
      <c r="M200" s="37">
        <f t="shared" si="55"/>
        <v>11</v>
      </c>
      <c r="N200" s="2"/>
      <c r="O200" s="32"/>
      <c r="P200" s="32">
        <f t="shared" si="57"/>
        <v>23265</v>
      </c>
      <c r="Q200" s="2"/>
      <c r="R200" s="2"/>
      <c r="S200" s="2"/>
      <c r="T200" s="2"/>
      <c r="U200" s="37">
        <f t="shared" si="56"/>
        <v>11</v>
      </c>
      <c r="V200" s="34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 spans="1:86">
      <c r="A201" s="35" t="s">
        <v>224</v>
      </c>
      <c r="B201" s="1" t="s">
        <v>218</v>
      </c>
      <c r="C201" s="1" t="s">
        <v>218</v>
      </c>
      <c r="D201" s="1"/>
      <c r="E201" s="2" t="s">
        <v>37</v>
      </c>
      <c r="F201" s="2">
        <v>350</v>
      </c>
      <c r="G201" s="2" t="s">
        <v>216</v>
      </c>
      <c r="H201" s="2">
        <v>240</v>
      </c>
      <c r="I201" s="2">
        <v>2138</v>
      </c>
      <c r="J201" s="12">
        <f t="shared" ref="J201:J224" si="58">IFERROR(IF(AND(V201=3,U201&gt;0),I201,I201*U201),"Verify")</f>
        <v>2138</v>
      </c>
      <c r="K201" s="5">
        <f t="shared" ref="K201:K224" si="59">+J201/(F201*H201*10^-5)</f>
        <v>2545.238095238095</v>
      </c>
      <c r="L201" s="2">
        <v>1</v>
      </c>
      <c r="M201" s="37">
        <f t="shared" ref="M201:M224" si="60">+L201-X201-Z201-AD201-AB201-AF201-AH201-AJ201-AL201-AO201-AQ201-AS201-AU201-AW201-AY201-BA201-BC201-BE201-BG201-BI201-BK201-BM201-BO201-BQ201-BS201-BU201-BW201-BY201-CA201-CC201-CE201-CG201</f>
        <v>1</v>
      </c>
      <c r="N201" s="2"/>
      <c r="O201" s="32"/>
      <c r="P201" s="32">
        <f t="shared" si="57"/>
        <v>2138</v>
      </c>
      <c r="Q201" s="2"/>
      <c r="R201" s="2"/>
      <c r="S201" s="2"/>
      <c r="T201" s="2"/>
      <c r="U201" s="37">
        <f t="shared" si="56"/>
        <v>1</v>
      </c>
      <c r="V201" s="34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</row>
    <row r="202" spans="1:86">
      <c r="A202" s="35" t="s">
        <v>225</v>
      </c>
      <c r="B202" s="1" t="s">
        <v>62</v>
      </c>
      <c r="C202" s="1" t="s">
        <v>62</v>
      </c>
      <c r="D202" s="1"/>
      <c r="E202" s="2" t="s">
        <v>37</v>
      </c>
      <c r="F202" s="2">
        <v>400</v>
      </c>
      <c r="G202" s="2" t="s">
        <v>216</v>
      </c>
      <c r="H202" s="2">
        <v>67</v>
      </c>
      <c r="I202" s="2">
        <v>591</v>
      </c>
      <c r="J202" s="12">
        <f t="shared" si="58"/>
        <v>591</v>
      </c>
      <c r="K202" s="5">
        <f t="shared" si="59"/>
        <v>2205.2238805970146</v>
      </c>
      <c r="L202" s="2">
        <v>1</v>
      </c>
      <c r="M202" s="37">
        <f t="shared" si="60"/>
        <v>1</v>
      </c>
      <c r="N202" s="2"/>
      <c r="O202" s="32"/>
      <c r="P202" s="32">
        <f t="shared" si="57"/>
        <v>591</v>
      </c>
      <c r="Q202" s="2"/>
      <c r="R202" s="2"/>
      <c r="S202" s="2"/>
      <c r="T202" s="2"/>
      <c r="U202" s="37">
        <f t="shared" si="56"/>
        <v>1</v>
      </c>
      <c r="V202" s="34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 spans="1:86">
      <c r="A203" s="35" t="s">
        <v>225</v>
      </c>
      <c r="B203" s="1" t="s">
        <v>62</v>
      </c>
      <c r="C203" s="1" t="s">
        <v>62</v>
      </c>
      <c r="D203" s="1"/>
      <c r="E203" s="2" t="s">
        <v>37</v>
      </c>
      <c r="F203" s="2">
        <v>400</v>
      </c>
      <c r="G203" s="2" t="s">
        <v>216</v>
      </c>
      <c r="H203" s="2">
        <v>67</v>
      </c>
      <c r="I203" s="2">
        <v>592</v>
      </c>
      <c r="J203" s="12">
        <f t="shared" si="58"/>
        <v>17760</v>
      </c>
      <c r="K203" s="5">
        <f t="shared" si="59"/>
        <v>66268.6567164179</v>
      </c>
      <c r="L203" s="2">
        <v>30</v>
      </c>
      <c r="M203" s="37">
        <f t="shared" si="60"/>
        <v>30</v>
      </c>
      <c r="N203" s="2"/>
      <c r="O203" s="32"/>
      <c r="P203" s="32">
        <f t="shared" si="57"/>
        <v>17760</v>
      </c>
      <c r="Q203" s="2"/>
      <c r="R203" s="2"/>
      <c r="S203" s="2"/>
      <c r="T203" s="2"/>
      <c r="U203" s="37">
        <f t="shared" si="56"/>
        <v>30</v>
      </c>
      <c r="V203" s="34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</row>
    <row r="204" spans="1:86">
      <c r="A204" s="35" t="s">
        <v>225</v>
      </c>
      <c r="B204" s="1" t="s">
        <v>62</v>
      </c>
      <c r="C204" s="1" t="s">
        <v>62</v>
      </c>
      <c r="D204" s="1"/>
      <c r="E204" s="2" t="s">
        <v>37</v>
      </c>
      <c r="F204" s="2">
        <v>400</v>
      </c>
      <c r="G204" s="2" t="s">
        <v>216</v>
      </c>
      <c r="H204" s="2">
        <v>67</v>
      </c>
      <c r="I204" s="2">
        <v>594</v>
      </c>
      <c r="J204" s="12">
        <f t="shared" si="58"/>
        <v>3564</v>
      </c>
      <c r="K204" s="5">
        <f t="shared" si="59"/>
        <v>13298.507462686566</v>
      </c>
      <c r="L204" s="2">
        <v>6</v>
      </c>
      <c r="M204" s="37">
        <f t="shared" si="60"/>
        <v>6</v>
      </c>
      <c r="N204" s="2"/>
      <c r="O204" s="32"/>
      <c r="P204" s="32">
        <f t="shared" si="57"/>
        <v>3564</v>
      </c>
      <c r="Q204" s="2"/>
      <c r="R204" s="2"/>
      <c r="S204" s="2"/>
      <c r="T204" s="2"/>
      <c r="U204" s="37">
        <f t="shared" si="56"/>
        <v>6</v>
      </c>
      <c r="V204" s="34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</row>
    <row r="205" spans="1:86">
      <c r="A205" s="35" t="s">
        <v>225</v>
      </c>
      <c r="B205" s="1" t="s">
        <v>62</v>
      </c>
      <c r="C205" s="1" t="s">
        <v>62</v>
      </c>
      <c r="D205" s="1"/>
      <c r="E205" s="2" t="s">
        <v>37</v>
      </c>
      <c r="F205" s="2">
        <v>400</v>
      </c>
      <c r="G205" s="2" t="s">
        <v>216</v>
      </c>
      <c r="H205" s="2">
        <v>67</v>
      </c>
      <c r="I205" s="2">
        <v>583</v>
      </c>
      <c r="J205" s="12">
        <f t="shared" si="58"/>
        <v>583</v>
      </c>
      <c r="K205" s="5">
        <f t="shared" si="59"/>
        <v>2175.373134328358</v>
      </c>
      <c r="L205" s="2">
        <v>1</v>
      </c>
      <c r="M205" s="37">
        <f t="shared" si="60"/>
        <v>1</v>
      </c>
      <c r="N205" s="2"/>
      <c r="O205" s="32"/>
      <c r="P205" s="32">
        <f t="shared" si="57"/>
        <v>583</v>
      </c>
      <c r="Q205" s="2"/>
      <c r="R205" s="2"/>
      <c r="S205" s="2"/>
      <c r="T205" s="2"/>
      <c r="U205" s="37">
        <f t="shared" si="56"/>
        <v>1</v>
      </c>
      <c r="V205" s="34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</row>
    <row r="206" spans="1:86">
      <c r="A206" s="35" t="s">
        <v>226</v>
      </c>
      <c r="B206" s="1" t="s">
        <v>62</v>
      </c>
      <c r="C206" s="1" t="s">
        <v>62</v>
      </c>
      <c r="D206" s="1"/>
      <c r="E206" s="2" t="s">
        <v>37</v>
      </c>
      <c r="F206" s="2">
        <v>400</v>
      </c>
      <c r="G206" s="2" t="s">
        <v>216</v>
      </c>
      <c r="H206" s="2">
        <v>67</v>
      </c>
      <c r="I206" s="2">
        <v>597</v>
      </c>
      <c r="J206" s="12">
        <f t="shared" si="58"/>
        <v>2985</v>
      </c>
      <c r="K206" s="5">
        <f t="shared" si="59"/>
        <v>11138.059701492537</v>
      </c>
      <c r="L206" s="2">
        <v>5</v>
      </c>
      <c r="M206" s="37">
        <f t="shared" si="60"/>
        <v>5</v>
      </c>
      <c r="N206" s="2"/>
      <c r="O206" s="32"/>
      <c r="P206" s="32">
        <f t="shared" si="57"/>
        <v>2985</v>
      </c>
      <c r="Q206" s="2"/>
      <c r="R206" s="2"/>
      <c r="S206" s="2"/>
      <c r="T206" s="2"/>
      <c r="U206" s="37">
        <f t="shared" si="56"/>
        <v>5</v>
      </c>
      <c r="V206" s="34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</row>
    <row r="207" spans="1:86">
      <c r="A207" s="35" t="s">
        <v>226</v>
      </c>
      <c r="B207" s="1" t="s">
        <v>62</v>
      </c>
      <c r="C207" s="1" t="s">
        <v>62</v>
      </c>
      <c r="D207" s="1"/>
      <c r="E207" s="2" t="s">
        <v>37</v>
      </c>
      <c r="F207" s="2">
        <v>400</v>
      </c>
      <c r="G207" s="2" t="s">
        <v>216</v>
      </c>
      <c r="H207" s="2">
        <v>67</v>
      </c>
      <c r="I207" s="2">
        <v>594</v>
      </c>
      <c r="J207" s="12">
        <f t="shared" si="58"/>
        <v>8910</v>
      </c>
      <c r="K207" s="5">
        <f t="shared" si="59"/>
        <v>33246.268656716413</v>
      </c>
      <c r="L207" s="2">
        <v>15</v>
      </c>
      <c r="M207" s="37">
        <f t="shared" si="60"/>
        <v>15</v>
      </c>
      <c r="N207" s="2"/>
      <c r="O207" s="32"/>
      <c r="P207" s="32">
        <f t="shared" si="57"/>
        <v>8910</v>
      </c>
      <c r="Q207" s="2"/>
      <c r="R207" s="2"/>
      <c r="S207" s="2"/>
      <c r="T207" s="2"/>
      <c r="U207" s="37">
        <f t="shared" si="56"/>
        <v>15</v>
      </c>
      <c r="V207" s="34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 spans="1:86">
      <c r="A208" s="35" t="s">
        <v>226</v>
      </c>
      <c r="B208" s="1" t="s">
        <v>62</v>
      </c>
      <c r="C208" s="1" t="s">
        <v>62</v>
      </c>
      <c r="D208" s="1"/>
      <c r="E208" s="2" t="s">
        <v>37</v>
      </c>
      <c r="F208" s="2">
        <v>400</v>
      </c>
      <c r="G208" s="2" t="s">
        <v>216</v>
      </c>
      <c r="H208" s="2">
        <v>67</v>
      </c>
      <c r="I208" s="2">
        <v>596</v>
      </c>
      <c r="J208" s="12">
        <f t="shared" si="58"/>
        <v>5960</v>
      </c>
      <c r="K208" s="5">
        <f t="shared" si="59"/>
        <v>22238.805970149253</v>
      </c>
      <c r="L208" s="2">
        <v>10</v>
      </c>
      <c r="M208" s="37">
        <f t="shared" si="60"/>
        <v>10</v>
      </c>
      <c r="N208" s="2"/>
      <c r="O208" s="32"/>
      <c r="P208" s="32">
        <f t="shared" si="57"/>
        <v>5960</v>
      </c>
      <c r="Q208" s="2"/>
      <c r="R208" s="2"/>
      <c r="S208" s="2"/>
      <c r="T208" s="2"/>
      <c r="U208" s="37">
        <f t="shared" si="56"/>
        <v>10</v>
      </c>
      <c r="V208" s="34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</row>
    <row r="209" spans="1:86">
      <c r="A209" s="35" t="s">
        <v>226</v>
      </c>
      <c r="B209" s="1" t="s">
        <v>62</v>
      </c>
      <c r="C209" s="1" t="s">
        <v>62</v>
      </c>
      <c r="D209" s="1"/>
      <c r="E209" s="2" t="s">
        <v>37</v>
      </c>
      <c r="F209" s="2">
        <v>400</v>
      </c>
      <c r="G209" s="2" t="s">
        <v>216</v>
      </c>
      <c r="H209" s="2">
        <v>67</v>
      </c>
      <c r="I209" s="2">
        <v>600</v>
      </c>
      <c r="J209" s="12">
        <f t="shared" si="58"/>
        <v>3000</v>
      </c>
      <c r="K209" s="5">
        <f t="shared" si="59"/>
        <v>11194.029850746268</v>
      </c>
      <c r="L209" s="2">
        <v>5</v>
      </c>
      <c r="M209" s="37">
        <f t="shared" si="60"/>
        <v>5</v>
      </c>
      <c r="N209" s="2"/>
      <c r="O209" s="32"/>
      <c r="P209" s="32">
        <f t="shared" si="57"/>
        <v>3000</v>
      </c>
      <c r="Q209" s="2"/>
      <c r="R209" s="2"/>
      <c r="S209" s="2"/>
      <c r="T209" s="2"/>
      <c r="U209" s="37">
        <f t="shared" si="56"/>
        <v>5</v>
      </c>
      <c r="V209" s="34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</row>
    <row r="210" spans="1:86">
      <c r="A210" s="35" t="s">
        <v>226</v>
      </c>
      <c r="B210" s="1" t="s">
        <v>62</v>
      </c>
      <c r="C210" s="1" t="s">
        <v>62</v>
      </c>
      <c r="D210" s="1"/>
      <c r="E210" s="2" t="s">
        <v>37</v>
      </c>
      <c r="F210" s="2">
        <v>400</v>
      </c>
      <c r="G210" s="2" t="s">
        <v>216</v>
      </c>
      <c r="H210" s="2">
        <v>67</v>
      </c>
      <c r="I210" s="2">
        <v>598</v>
      </c>
      <c r="J210" s="12">
        <f t="shared" si="58"/>
        <v>598</v>
      </c>
      <c r="K210" s="5">
        <f t="shared" si="59"/>
        <v>2231.3432835820895</v>
      </c>
      <c r="L210" s="2">
        <v>1</v>
      </c>
      <c r="M210" s="37">
        <f t="shared" si="60"/>
        <v>1</v>
      </c>
      <c r="N210" s="2"/>
      <c r="O210" s="32"/>
      <c r="P210" s="32">
        <f t="shared" si="57"/>
        <v>598</v>
      </c>
      <c r="Q210" s="2"/>
      <c r="R210" s="2"/>
      <c r="S210" s="2"/>
      <c r="T210" s="2"/>
      <c r="U210" s="37">
        <f t="shared" si="56"/>
        <v>1</v>
      </c>
      <c r="V210" s="34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 spans="1:86">
      <c r="A211" s="35" t="s">
        <v>227</v>
      </c>
      <c r="B211" s="1" t="s">
        <v>62</v>
      </c>
      <c r="C211" s="1" t="s">
        <v>62</v>
      </c>
      <c r="D211" s="1"/>
      <c r="E211" s="2" t="s">
        <v>37</v>
      </c>
      <c r="F211" s="2">
        <v>400</v>
      </c>
      <c r="G211" s="2" t="s">
        <v>216</v>
      </c>
      <c r="H211" s="2">
        <v>67</v>
      </c>
      <c r="I211" s="2">
        <v>595</v>
      </c>
      <c r="J211" s="12">
        <f t="shared" si="58"/>
        <v>1190</v>
      </c>
      <c r="K211" s="5">
        <f t="shared" si="59"/>
        <v>4440.2985074626868</v>
      </c>
      <c r="L211" s="2">
        <v>2</v>
      </c>
      <c r="M211" s="37">
        <f t="shared" si="60"/>
        <v>2</v>
      </c>
      <c r="N211" s="2"/>
      <c r="O211" s="32"/>
      <c r="P211" s="32">
        <f t="shared" si="57"/>
        <v>1190</v>
      </c>
      <c r="Q211" s="2"/>
      <c r="R211" s="2"/>
      <c r="S211" s="2"/>
      <c r="T211" s="2"/>
      <c r="U211" s="37">
        <f t="shared" si="56"/>
        <v>2</v>
      </c>
      <c r="V211" s="34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 spans="1:86">
      <c r="A212" s="35" t="s">
        <v>227</v>
      </c>
      <c r="B212" s="1" t="s">
        <v>220</v>
      </c>
      <c r="C212" s="1" t="s">
        <v>220</v>
      </c>
      <c r="D212" s="1"/>
      <c r="E212" s="2" t="s">
        <v>37</v>
      </c>
      <c r="F212" s="2">
        <v>400</v>
      </c>
      <c r="G212" s="2" t="s">
        <v>216</v>
      </c>
      <c r="H212" s="2">
        <v>136</v>
      </c>
      <c r="I212" s="2">
        <v>1219</v>
      </c>
      <c r="J212" s="12">
        <f t="shared" si="58"/>
        <v>2438</v>
      </c>
      <c r="K212" s="5">
        <f t="shared" si="59"/>
        <v>4481.6176470588234</v>
      </c>
      <c r="L212" s="2">
        <v>2</v>
      </c>
      <c r="M212" s="37">
        <f t="shared" si="60"/>
        <v>2</v>
      </c>
      <c r="N212" s="2"/>
      <c r="O212" s="32"/>
      <c r="P212" s="32">
        <f t="shared" si="57"/>
        <v>2438</v>
      </c>
      <c r="Q212" s="2"/>
      <c r="R212" s="2"/>
      <c r="S212" s="2"/>
      <c r="T212" s="2"/>
      <c r="U212" s="37">
        <f t="shared" si="56"/>
        <v>2</v>
      </c>
      <c r="V212" s="34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 spans="1:86">
      <c r="A213" s="35" t="s">
        <v>227</v>
      </c>
      <c r="B213" s="1" t="s">
        <v>220</v>
      </c>
      <c r="C213" s="1" t="s">
        <v>220</v>
      </c>
      <c r="D213" s="1"/>
      <c r="E213" s="2" t="s">
        <v>37</v>
      </c>
      <c r="F213" s="2">
        <v>400</v>
      </c>
      <c r="G213" s="2" t="s">
        <v>216</v>
      </c>
      <c r="H213" s="2">
        <v>136</v>
      </c>
      <c r="I213" s="2">
        <v>1213</v>
      </c>
      <c r="J213" s="12">
        <f t="shared" si="58"/>
        <v>12130</v>
      </c>
      <c r="K213" s="5">
        <f t="shared" si="59"/>
        <v>22297.794117647056</v>
      </c>
      <c r="L213" s="2">
        <v>10</v>
      </c>
      <c r="M213" s="37">
        <f t="shared" si="60"/>
        <v>10</v>
      </c>
      <c r="N213" s="2"/>
      <c r="O213" s="32"/>
      <c r="P213" s="32">
        <f t="shared" si="57"/>
        <v>12130</v>
      </c>
      <c r="Q213" s="2"/>
      <c r="R213" s="2"/>
      <c r="S213" s="2"/>
      <c r="T213" s="2"/>
      <c r="U213" s="37">
        <f t="shared" si="56"/>
        <v>10</v>
      </c>
      <c r="V213" s="34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 spans="1:86">
      <c r="A214" s="35" t="s">
        <v>227</v>
      </c>
      <c r="B214" s="1" t="s">
        <v>220</v>
      </c>
      <c r="C214" s="1" t="s">
        <v>220</v>
      </c>
      <c r="D214" s="1"/>
      <c r="E214" s="2" t="s">
        <v>37</v>
      </c>
      <c r="F214" s="2">
        <v>400</v>
      </c>
      <c r="G214" s="2" t="s">
        <v>216</v>
      </c>
      <c r="H214" s="2">
        <v>136</v>
      </c>
      <c r="I214" s="2">
        <v>1202</v>
      </c>
      <c r="J214" s="12">
        <f t="shared" si="58"/>
        <v>2404</v>
      </c>
      <c r="K214" s="5">
        <f t="shared" si="59"/>
        <v>4419.1176470588234</v>
      </c>
      <c r="L214" s="2">
        <v>2</v>
      </c>
      <c r="M214" s="37">
        <f t="shared" si="60"/>
        <v>2</v>
      </c>
      <c r="N214" s="2"/>
      <c r="O214" s="32"/>
      <c r="P214" s="32">
        <f t="shared" si="57"/>
        <v>2404</v>
      </c>
      <c r="Q214" s="2"/>
      <c r="R214" s="2"/>
      <c r="S214" s="2"/>
      <c r="T214" s="2"/>
      <c r="U214" s="37">
        <f t="shared" si="56"/>
        <v>2</v>
      </c>
      <c r="V214" s="34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</row>
    <row r="215" spans="1:86">
      <c r="A215" s="35" t="s">
        <v>227</v>
      </c>
      <c r="B215" s="1" t="s">
        <v>220</v>
      </c>
      <c r="C215" s="1" t="s">
        <v>220</v>
      </c>
      <c r="D215" s="1"/>
      <c r="E215" s="2" t="s">
        <v>37</v>
      </c>
      <c r="F215" s="2">
        <v>400</v>
      </c>
      <c r="G215" s="2" t="s">
        <v>216</v>
      </c>
      <c r="H215" s="2">
        <v>136</v>
      </c>
      <c r="I215" s="2">
        <v>1208</v>
      </c>
      <c r="J215" s="12">
        <f t="shared" si="58"/>
        <v>2416</v>
      </c>
      <c r="K215" s="5">
        <f t="shared" si="59"/>
        <v>4441.1764705882351</v>
      </c>
      <c r="L215" s="2">
        <v>2</v>
      </c>
      <c r="M215" s="37">
        <f t="shared" si="60"/>
        <v>2</v>
      </c>
      <c r="N215" s="2"/>
      <c r="O215" s="32"/>
      <c r="P215" s="32">
        <f t="shared" si="57"/>
        <v>2416</v>
      </c>
      <c r="Q215" s="2"/>
      <c r="R215" s="2"/>
      <c r="S215" s="2"/>
      <c r="T215" s="2"/>
      <c r="U215" s="37">
        <f t="shared" si="56"/>
        <v>2</v>
      </c>
      <c r="V215" s="34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</row>
    <row r="216" spans="1:86">
      <c r="A216" s="35" t="s">
        <v>227</v>
      </c>
      <c r="B216" s="1" t="s">
        <v>220</v>
      </c>
      <c r="C216" s="1" t="s">
        <v>220</v>
      </c>
      <c r="D216" s="1"/>
      <c r="E216" s="2" t="s">
        <v>37</v>
      </c>
      <c r="F216" s="2">
        <v>400</v>
      </c>
      <c r="G216" s="2" t="s">
        <v>216</v>
      </c>
      <c r="H216" s="2">
        <v>136</v>
      </c>
      <c r="I216" s="2">
        <v>1219</v>
      </c>
      <c r="J216" s="12">
        <f t="shared" si="58"/>
        <v>2438</v>
      </c>
      <c r="K216" s="5">
        <f t="shared" si="59"/>
        <v>4481.6176470588234</v>
      </c>
      <c r="L216" s="2">
        <v>2</v>
      </c>
      <c r="M216" s="37">
        <f t="shared" si="60"/>
        <v>2</v>
      </c>
      <c r="N216" s="2"/>
      <c r="O216" s="32"/>
      <c r="P216" s="32">
        <f t="shared" si="57"/>
        <v>2438</v>
      </c>
      <c r="Q216" s="2"/>
      <c r="R216" s="2"/>
      <c r="S216" s="2"/>
      <c r="T216" s="2"/>
      <c r="U216" s="37">
        <f t="shared" si="56"/>
        <v>2</v>
      </c>
      <c r="V216" s="34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</row>
    <row r="217" spans="1:86">
      <c r="A217" s="35" t="s">
        <v>228</v>
      </c>
      <c r="B217" s="1" t="s">
        <v>221</v>
      </c>
      <c r="C217" s="1" t="s">
        <v>221</v>
      </c>
      <c r="D217" s="1"/>
      <c r="E217" s="2" t="s">
        <v>37</v>
      </c>
      <c r="F217" s="2">
        <v>400</v>
      </c>
      <c r="G217" s="2" t="s">
        <v>216</v>
      </c>
      <c r="H217" s="2">
        <v>146</v>
      </c>
      <c r="I217" s="2">
        <v>1296</v>
      </c>
      <c r="J217" s="12">
        <f t="shared" si="58"/>
        <v>6480</v>
      </c>
      <c r="K217" s="5">
        <f t="shared" si="59"/>
        <v>11095.890410958902</v>
      </c>
      <c r="L217" s="2">
        <v>5</v>
      </c>
      <c r="M217" s="37">
        <f t="shared" si="60"/>
        <v>5</v>
      </c>
      <c r="N217" s="2"/>
      <c r="O217" s="32"/>
      <c r="P217" s="32">
        <f t="shared" si="57"/>
        <v>6480</v>
      </c>
      <c r="Q217" s="2"/>
      <c r="R217" s="2"/>
      <c r="S217" s="2"/>
      <c r="T217" s="2"/>
      <c r="U217" s="37">
        <f t="shared" si="56"/>
        <v>5</v>
      </c>
      <c r="V217" s="34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</row>
    <row r="218" spans="1:86">
      <c r="A218" s="35" t="s">
        <v>228</v>
      </c>
      <c r="B218" s="1" t="s">
        <v>221</v>
      </c>
      <c r="C218" s="1" t="s">
        <v>221</v>
      </c>
      <c r="D218" s="1"/>
      <c r="E218" s="2" t="s">
        <v>37</v>
      </c>
      <c r="F218" s="2">
        <v>400</v>
      </c>
      <c r="G218" s="2" t="s">
        <v>216</v>
      </c>
      <c r="H218" s="2">
        <v>146</v>
      </c>
      <c r="I218" s="2">
        <v>1302</v>
      </c>
      <c r="J218" s="12">
        <f t="shared" si="58"/>
        <v>6510</v>
      </c>
      <c r="K218" s="5">
        <f t="shared" si="59"/>
        <v>11147.260273972601</v>
      </c>
      <c r="L218" s="2">
        <v>5</v>
      </c>
      <c r="M218" s="37">
        <f t="shared" si="60"/>
        <v>5</v>
      </c>
      <c r="N218" s="2"/>
      <c r="O218" s="32"/>
      <c r="P218" s="32">
        <f t="shared" si="57"/>
        <v>6510</v>
      </c>
      <c r="Q218" s="2"/>
      <c r="R218" s="2"/>
      <c r="S218" s="2"/>
      <c r="T218" s="2"/>
      <c r="U218" s="37">
        <f t="shared" si="56"/>
        <v>5</v>
      </c>
      <c r="V218" s="34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</row>
    <row r="219" spans="1:86">
      <c r="A219" s="35" t="s">
        <v>228</v>
      </c>
      <c r="B219" s="1" t="s">
        <v>221</v>
      </c>
      <c r="C219" s="1" t="s">
        <v>221</v>
      </c>
      <c r="D219" s="1"/>
      <c r="E219" s="2" t="s">
        <v>37</v>
      </c>
      <c r="F219" s="2">
        <v>400</v>
      </c>
      <c r="G219" s="2" t="s">
        <v>216</v>
      </c>
      <c r="H219" s="2">
        <v>146</v>
      </c>
      <c r="I219" s="2">
        <v>1294</v>
      </c>
      <c r="J219" s="12">
        <f t="shared" si="58"/>
        <v>9058</v>
      </c>
      <c r="K219" s="5">
        <f t="shared" si="59"/>
        <v>15510.273972602738</v>
      </c>
      <c r="L219" s="2">
        <v>7</v>
      </c>
      <c r="M219" s="37">
        <f t="shared" si="60"/>
        <v>7</v>
      </c>
      <c r="N219" s="2"/>
      <c r="O219" s="32"/>
      <c r="P219" s="32">
        <f t="shared" si="57"/>
        <v>9058</v>
      </c>
      <c r="Q219" s="2"/>
      <c r="R219" s="2"/>
      <c r="S219" s="2"/>
      <c r="T219" s="2"/>
      <c r="U219" s="37">
        <f t="shared" si="56"/>
        <v>7</v>
      </c>
      <c r="V219" s="34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</row>
    <row r="220" spans="1:86">
      <c r="A220" s="35" t="s">
        <v>229</v>
      </c>
      <c r="B220" s="1" t="s">
        <v>230</v>
      </c>
      <c r="C220" s="1" t="s">
        <v>230</v>
      </c>
      <c r="D220" s="1"/>
      <c r="E220" s="2" t="s">
        <v>37</v>
      </c>
      <c r="F220" s="2">
        <v>350</v>
      </c>
      <c r="G220" s="2" t="s">
        <v>216</v>
      </c>
      <c r="H220" s="2">
        <v>210</v>
      </c>
      <c r="I220" s="2">
        <v>1889</v>
      </c>
      <c r="J220" s="12">
        <f t="shared" si="58"/>
        <v>1889</v>
      </c>
      <c r="K220" s="5">
        <f t="shared" si="59"/>
        <v>2570.0680272108839</v>
      </c>
      <c r="L220" s="2">
        <v>1</v>
      </c>
      <c r="M220" s="37">
        <f t="shared" si="60"/>
        <v>1</v>
      </c>
      <c r="N220" s="2"/>
      <c r="O220" s="32"/>
      <c r="P220" s="32">
        <f t="shared" si="57"/>
        <v>1889</v>
      </c>
      <c r="Q220" s="2"/>
      <c r="R220" s="2"/>
      <c r="S220" s="2"/>
      <c r="T220" s="2"/>
      <c r="U220" s="37">
        <f t="shared" si="56"/>
        <v>1</v>
      </c>
      <c r="V220" s="34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</row>
    <row r="221" spans="1:86">
      <c r="A221" s="35" t="s">
        <v>229</v>
      </c>
      <c r="B221" s="1" t="s">
        <v>230</v>
      </c>
      <c r="C221" s="1" t="s">
        <v>230</v>
      </c>
      <c r="D221" s="1"/>
      <c r="E221" s="2" t="s">
        <v>37</v>
      </c>
      <c r="F221" s="2">
        <v>350</v>
      </c>
      <c r="G221" s="2" t="s">
        <v>216</v>
      </c>
      <c r="H221" s="2">
        <v>210</v>
      </c>
      <c r="I221" s="2">
        <v>1885</v>
      </c>
      <c r="J221" s="12">
        <f t="shared" si="58"/>
        <v>3770</v>
      </c>
      <c r="K221" s="5">
        <f t="shared" si="59"/>
        <v>5129.2517006802718</v>
      </c>
      <c r="L221" s="2">
        <v>2</v>
      </c>
      <c r="M221" s="37">
        <f t="shared" si="60"/>
        <v>2</v>
      </c>
      <c r="N221" s="2"/>
      <c r="O221" s="32"/>
      <c r="P221" s="32">
        <f t="shared" si="57"/>
        <v>3770</v>
      </c>
      <c r="Q221" s="2"/>
      <c r="R221" s="2"/>
      <c r="S221" s="2"/>
      <c r="T221" s="2"/>
      <c r="U221" s="37">
        <f t="shared" si="56"/>
        <v>2</v>
      </c>
      <c r="V221" s="34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</row>
    <row r="222" spans="1:86">
      <c r="A222" s="35" t="s">
        <v>229</v>
      </c>
      <c r="B222" s="1" t="s">
        <v>230</v>
      </c>
      <c r="C222" s="1" t="s">
        <v>230</v>
      </c>
      <c r="D222" s="1"/>
      <c r="E222" s="2" t="s">
        <v>37</v>
      </c>
      <c r="F222" s="2">
        <v>350</v>
      </c>
      <c r="G222" s="2" t="s">
        <v>216</v>
      </c>
      <c r="H222" s="2">
        <v>210</v>
      </c>
      <c r="I222" s="2">
        <v>1815</v>
      </c>
      <c r="J222" s="12">
        <f t="shared" si="58"/>
        <v>5445</v>
      </c>
      <c r="K222" s="5">
        <f t="shared" si="59"/>
        <v>7408.1632653061215</v>
      </c>
      <c r="L222" s="2">
        <v>3</v>
      </c>
      <c r="M222" s="37">
        <f t="shared" si="60"/>
        <v>3</v>
      </c>
      <c r="N222" s="2"/>
      <c r="O222" s="32"/>
      <c r="P222" s="32">
        <f t="shared" si="57"/>
        <v>5445</v>
      </c>
      <c r="Q222" s="2"/>
      <c r="R222" s="2"/>
      <c r="S222" s="2"/>
      <c r="T222" s="2"/>
      <c r="U222" s="37">
        <f t="shared" si="56"/>
        <v>3</v>
      </c>
      <c r="V222" s="34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</row>
    <row r="223" spans="1:86">
      <c r="A223" s="35" t="s">
        <v>231</v>
      </c>
      <c r="B223" s="1" t="s">
        <v>60</v>
      </c>
      <c r="C223" s="1" t="s">
        <v>60</v>
      </c>
      <c r="D223" s="1"/>
      <c r="E223" s="2" t="s">
        <v>37</v>
      </c>
      <c r="F223" s="2">
        <v>400</v>
      </c>
      <c r="G223" s="2" t="s">
        <v>216</v>
      </c>
      <c r="H223" s="2">
        <v>236</v>
      </c>
      <c r="I223" s="2">
        <v>2115</v>
      </c>
      <c r="J223" s="12">
        <f t="shared" si="58"/>
        <v>8460</v>
      </c>
      <c r="K223" s="5">
        <f t="shared" si="59"/>
        <v>8961.8644067796613</v>
      </c>
      <c r="L223" s="2">
        <v>4</v>
      </c>
      <c r="M223" s="37">
        <f t="shared" si="60"/>
        <v>4</v>
      </c>
      <c r="N223" s="2"/>
      <c r="O223" s="32"/>
      <c r="P223" s="32">
        <f t="shared" si="57"/>
        <v>8460</v>
      </c>
      <c r="Q223" s="2"/>
      <c r="R223" s="2"/>
      <c r="S223" s="2"/>
      <c r="T223" s="2"/>
      <c r="U223" s="37">
        <f t="shared" si="56"/>
        <v>4</v>
      </c>
      <c r="V223" s="34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</row>
    <row r="224" spans="1:86">
      <c r="A224" s="35" t="s">
        <v>231</v>
      </c>
      <c r="B224" s="1" t="s">
        <v>60</v>
      </c>
      <c r="C224" s="1" t="s">
        <v>60</v>
      </c>
      <c r="D224" s="1"/>
      <c r="E224" s="2" t="s">
        <v>37</v>
      </c>
      <c r="F224" s="2">
        <v>400</v>
      </c>
      <c r="G224" s="2" t="s">
        <v>216</v>
      </c>
      <c r="H224" s="2">
        <v>236</v>
      </c>
      <c r="I224" s="2">
        <v>2096</v>
      </c>
      <c r="J224" s="12">
        <f t="shared" si="58"/>
        <v>14672</v>
      </c>
      <c r="K224" s="5">
        <f t="shared" si="59"/>
        <v>15542.372881355932</v>
      </c>
      <c r="L224" s="2">
        <v>7</v>
      </c>
      <c r="M224" s="37">
        <f t="shared" si="60"/>
        <v>7</v>
      </c>
      <c r="N224" s="2"/>
      <c r="O224" s="32"/>
      <c r="P224" s="32">
        <f t="shared" si="57"/>
        <v>14672</v>
      </c>
      <c r="Q224" s="2"/>
      <c r="R224" s="2"/>
      <c r="S224" s="2"/>
      <c r="T224" s="2"/>
      <c r="U224" s="37">
        <f t="shared" si="56"/>
        <v>7</v>
      </c>
      <c r="V224" s="34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</row>
    <row r="225" spans="1:86">
      <c r="A225" s="35" t="s">
        <v>232</v>
      </c>
      <c r="B225" s="1" t="s">
        <v>62</v>
      </c>
      <c r="C225" s="1" t="s">
        <v>62</v>
      </c>
      <c r="D225" s="1"/>
      <c r="E225" s="2" t="s">
        <v>37</v>
      </c>
      <c r="F225" s="2">
        <v>400</v>
      </c>
      <c r="G225" s="2" t="s">
        <v>216</v>
      </c>
      <c r="H225" s="2">
        <v>67</v>
      </c>
      <c r="I225" s="2">
        <v>598</v>
      </c>
      <c r="J225" s="12">
        <f t="shared" ref="J225:J227" si="61">IFERROR(IF(AND(V225=3,U225&gt;0),I225,I225*U225),"Verify")</f>
        <v>4784</v>
      </c>
      <c r="K225" s="5">
        <f t="shared" ref="K225:K227" si="62">+J225/(F225*H225*10^-5)</f>
        <v>17850.746268656716</v>
      </c>
      <c r="L225" s="2">
        <v>8</v>
      </c>
      <c r="M225" s="37">
        <f t="shared" ref="M225:M226" si="63">+L225-X225-Z225-AD225-AB225-AF225-AH225-AJ225-AL225-AO225-AQ225-AS225-AU225-AW225-AY225-BA225-BC225-BE225-BG225-BI225-BK225-BM225-BO225-BQ225-BS225-BU225-BW225-BY225-CA225-CC225-CE225-CG225</f>
        <v>8</v>
      </c>
      <c r="N225" s="2"/>
      <c r="O225" s="32"/>
      <c r="P225" s="32">
        <f t="shared" si="57"/>
        <v>4784</v>
      </c>
      <c r="Q225" s="2"/>
      <c r="R225" s="2"/>
      <c r="S225" s="2"/>
      <c r="T225" s="2"/>
      <c r="U225" s="37">
        <f t="shared" si="56"/>
        <v>8</v>
      </c>
      <c r="V225" s="34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</row>
    <row r="226" spans="1:86">
      <c r="A226" s="35" t="s">
        <v>232</v>
      </c>
      <c r="B226" s="1" t="s">
        <v>62</v>
      </c>
      <c r="C226" s="1" t="s">
        <v>62</v>
      </c>
      <c r="D226" s="1"/>
      <c r="E226" s="2" t="s">
        <v>37</v>
      </c>
      <c r="F226" s="2">
        <v>400</v>
      </c>
      <c r="G226" s="2" t="s">
        <v>216</v>
      </c>
      <c r="H226" s="2">
        <v>67</v>
      </c>
      <c r="I226" s="2">
        <v>592</v>
      </c>
      <c r="J226" s="12">
        <f t="shared" si="61"/>
        <v>1184</v>
      </c>
      <c r="K226" s="5">
        <f t="shared" si="62"/>
        <v>4417.9104477611936</v>
      </c>
      <c r="L226" s="2">
        <v>2</v>
      </c>
      <c r="M226" s="37">
        <f t="shared" si="63"/>
        <v>2</v>
      </c>
      <c r="N226" s="2"/>
      <c r="O226" s="32"/>
      <c r="P226" s="32">
        <f t="shared" si="57"/>
        <v>1184</v>
      </c>
      <c r="Q226" s="2"/>
      <c r="R226" s="2"/>
      <c r="S226" s="2"/>
      <c r="T226" s="2"/>
      <c r="U226" s="37">
        <f t="shared" si="56"/>
        <v>2</v>
      </c>
      <c r="V226" s="34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</row>
    <row r="227" spans="1:86">
      <c r="A227" s="35" t="s">
        <v>232</v>
      </c>
      <c r="B227" s="1" t="s">
        <v>62</v>
      </c>
      <c r="C227" s="1" t="s">
        <v>62</v>
      </c>
      <c r="D227" s="1"/>
      <c r="E227" s="2" t="s">
        <v>37</v>
      </c>
      <c r="F227" s="2">
        <v>400</v>
      </c>
      <c r="G227" s="2" t="s">
        <v>216</v>
      </c>
      <c r="H227" s="2">
        <v>67</v>
      </c>
      <c r="I227" s="2">
        <v>600</v>
      </c>
      <c r="J227" s="12">
        <f t="shared" si="61"/>
        <v>1800</v>
      </c>
      <c r="K227" s="5">
        <f t="shared" si="62"/>
        <v>6716.4179104477607</v>
      </c>
      <c r="L227" s="2">
        <v>3</v>
      </c>
      <c r="M227" s="37">
        <f t="shared" ref="M227:M241" si="64">+L227-X227-Z227-AD227-AB227-AF227-AH227-AJ227-AL227-AO227-AQ227-AS227-AU227-AW227-AY227-BA227-BC227-BE227-BG227-BI227-BK227-BM227-BO227-BQ227-BS227-BU227-BW227-BY227-CA227-CC227-CE227-CG227</f>
        <v>3</v>
      </c>
      <c r="N227" s="2"/>
      <c r="O227" s="32"/>
      <c r="P227" s="32">
        <f t="shared" si="57"/>
        <v>1800</v>
      </c>
      <c r="Q227" s="2"/>
      <c r="R227" s="2"/>
      <c r="S227" s="2"/>
      <c r="T227" s="2"/>
      <c r="U227" s="37">
        <f t="shared" si="56"/>
        <v>3</v>
      </c>
      <c r="V227" s="34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</row>
    <row r="228" spans="1:86">
      <c r="A228" s="35" t="s">
        <v>232</v>
      </c>
      <c r="B228" s="1" t="s">
        <v>62</v>
      </c>
      <c r="C228" s="1" t="s">
        <v>62</v>
      </c>
      <c r="D228" s="1"/>
      <c r="E228" s="2" t="s">
        <v>37</v>
      </c>
      <c r="F228" s="2">
        <v>400</v>
      </c>
      <c r="G228" s="2" t="s">
        <v>216</v>
      </c>
      <c r="H228" s="2">
        <v>67</v>
      </c>
      <c r="I228" s="2">
        <v>596</v>
      </c>
      <c r="J228" s="12">
        <f t="shared" ref="J228:J238" si="65">IFERROR(IF(AND(V228=3,U228&gt;0),I228,I228*U228),"Verify")</f>
        <v>10132</v>
      </c>
      <c r="K228" s="5">
        <f t="shared" ref="K228:K238" si="66">+J228/(F228*H228*10^-5)</f>
        <v>37805.970149253728</v>
      </c>
      <c r="L228" s="2">
        <v>17</v>
      </c>
      <c r="M228" s="37">
        <f t="shared" si="64"/>
        <v>17</v>
      </c>
      <c r="N228" s="2"/>
      <c r="O228" s="32"/>
      <c r="P228" s="32">
        <f t="shared" si="57"/>
        <v>10132</v>
      </c>
      <c r="Q228" s="2"/>
      <c r="R228" s="2"/>
      <c r="S228" s="2"/>
      <c r="T228" s="2"/>
      <c r="U228" s="37">
        <f t="shared" si="56"/>
        <v>17</v>
      </c>
      <c r="V228" s="34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</row>
    <row r="229" spans="1:86">
      <c r="A229" s="35" t="s">
        <v>232</v>
      </c>
      <c r="B229" s="1" t="s">
        <v>62</v>
      </c>
      <c r="C229" s="1" t="s">
        <v>62</v>
      </c>
      <c r="D229" s="1"/>
      <c r="E229" s="2" t="s">
        <v>37</v>
      </c>
      <c r="F229" s="2">
        <v>400</v>
      </c>
      <c r="G229" s="2" t="s">
        <v>216</v>
      </c>
      <c r="H229" s="2">
        <v>67</v>
      </c>
      <c r="I229" s="2">
        <v>594</v>
      </c>
      <c r="J229" s="12">
        <f t="shared" si="65"/>
        <v>3564</v>
      </c>
      <c r="K229" s="5">
        <f t="shared" si="66"/>
        <v>13298.507462686566</v>
      </c>
      <c r="L229" s="2">
        <v>6</v>
      </c>
      <c r="M229" s="37">
        <f t="shared" si="64"/>
        <v>6</v>
      </c>
      <c r="N229" s="2"/>
      <c r="O229" s="32"/>
      <c r="P229" s="32">
        <f t="shared" si="57"/>
        <v>3564</v>
      </c>
      <c r="Q229" s="2"/>
      <c r="R229" s="2"/>
      <c r="S229" s="2"/>
      <c r="T229" s="2"/>
      <c r="U229" s="37">
        <f t="shared" si="56"/>
        <v>6</v>
      </c>
      <c r="V229" s="34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</row>
    <row r="230" spans="1:86">
      <c r="A230" s="35" t="s">
        <v>233</v>
      </c>
      <c r="B230" s="1" t="s">
        <v>62</v>
      </c>
      <c r="C230" s="1" t="s">
        <v>62</v>
      </c>
      <c r="D230" s="1"/>
      <c r="E230" s="2" t="s">
        <v>37</v>
      </c>
      <c r="F230" s="2">
        <v>400</v>
      </c>
      <c r="G230" s="2" t="s">
        <v>216</v>
      </c>
      <c r="H230" s="2">
        <v>67</v>
      </c>
      <c r="I230" s="2">
        <v>594</v>
      </c>
      <c r="J230" s="12">
        <f t="shared" si="65"/>
        <v>11286</v>
      </c>
      <c r="K230" s="5">
        <f t="shared" si="66"/>
        <v>42111.940298507463</v>
      </c>
      <c r="L230" s="2">
        <v>19</v>
      </c>
      <c r="M230" s="37">
        <f t="shared" si="64"/>
        <v>19</v>
      </c>
      <c r="N230" s="2"/>
      <c r="O230" s="32"/>
      <c r="P230" s="32">
        <f t="shared" si="57"/>
        <v>11286</v>
      </c>
      <c r="Q230" s="2"/>
      <c r="R230" s="2"/>
      <c r="S230" s="2"/>
      <c r="T230" s="2"/>
      <c r="U230" s="37">
        <f t="shared" si="56"/>
        <v>19</v>
      </c>
      <c r="V230" s="34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</row>
    <row r="231" spans="1:86">
      <c r="A231" s="35" t="s">
        <v>233</v>
      </c>
      <c r="B231" s="1" t="s">
        <v>62</v>
      </c>
      <c r="C231" s="1" t="s">
        <v>62</v>
      </c>
      <c r="D231" s="1"/>
      <c r="E231" s="2" t="s">
        <v>37</v>
      </c>
      <c r="F231" s="2">
        <v>400</v>
      </c>
      <c r="G231" s="2" t="s">
        <v>216</v>
      </c>
      <c r="H231" s="2">
        <v>67</v>
      </c>
      <c r="I231" s="2">
        <v>591</v>
      </c>
      <c r="J231" s="12">
        <f t="shared" si="65"/>
        <v>1182</v>
      </c>
      <c r="K231" s="5">
        <f t="shared" si="66"/>
        <v>4410.4477611940292</v>
      </c>
      <c r="L231" s="2">
        <v>2</v>
      </c>
      <c r="M231" s="37">
        <f t="shared" si="64"/>
        <v>2</v>
      </c>
      <c r="N231" s="2"/>
      <c r="O231" s="32"/>
      <c r="P231" s="32">
        <f t="shared" si="57"/>
        <v>1182</v>
      </c>
      <c r="Q231" s="2"/>
      <c r="R231" s="2"/>
      <c r="S231" s="2"/>
      <c r="T231" s="2"/>
      <c r="U231" s="37">
        <f t="shared" si="56"/>
        <v>2</v>
      </c>
      <c r="V231" s="34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</row>
    <row r="232" spans="1:86">
      <c r="A232" s="35" t="s">
        <v>234</v>
      </c>
      <c r="B232" s="1" t="s">
        <v>219</v>
      </c>
      <c r="C232" s="1" t="s">
        <v>219</v>
      </c>
      <c r="D232" s="1"/>
      <c r="E232" s="2" t="s">
        <v>37</v>
      </c>
      <c r="F232" s="2">
        <v>450</v>
      </c>
      <c r="G232" s="2" t="s">
        <v>216</v>
      </c>
      <c r="H232" s="2">
        <v>67</v>
      </c>
      <c r="I232" s="2">
        <v>585</v>
      </c>
      <c r="J232" s="12">
        <f t="shared" si="65"/>
        <v>5850</v>
      </c>
      <c r="K232" s="5">
        <f t="shared" si="66"/>
        <v>19402.985074626864</v>
      </c>
      <c r="L232" s="2">
        <v>10</v>
      </c>
      <c r="M232" s="37">
        <f t="shared" si="64"/>
        <v>10</v>
      </c>
      <c r="N232" s="2"/>
      <c r="O232" s="32"/>
      <c r="P232" s="32">
        <f t="shared" si="57"/>
        <v>5850</v>
      </c>
      <c r="Q232" s="2"/>
      <c r="R232" s="2"/>
      <c r="S232" s="2"/>
      <c r="T232" s="2"/>
      <c r="U232" s="37">
        <f t="shared" si="56"/>
        <v>10</v>
      </c>
      <c r="V232" s="34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</row>
    <row r="233" spans="1:86">
      <c r="A233" s="35" t="s">
        <v>234</v>
      </c>
      <c r="B233" s="1" t="s">
        <v>219</v>
      </c>
      <c r="C233" s="1" t="s">
        <v>219</v>
      </c>
      <c r="D233" s="1"/>
      <c r="E233" s="2" t="s">
        <v>37</v>
      </c>
      <c r="F233" s="2">
        <v>450</v>
      </c>
      <c r="G233" s="2" t="s">
        <v>216</v>
      </c>
      <c r="H233" s="2">
        <v>67</v>
      </c>
      <c r="I233" s="2">
        <v>591</v>
      </c>
      <c r="J233" s="12">
        <f t="shared" si="65"/>
        <v>591</v>
      </c>
      <c r="K233" s="5">
        <f t="shared" si="66"/>
        <v>1960.1990049751241</v>
      </c>
      <c r="L233" s="2">
        <v>5</v>
      </c>
      <c r="M233" s="37">
        <f t="shared" si="64"/>
        <v>1</v>
      </c>
      <c r="N233" s="2"/>
      <c r="O233" s="32"/>
      <c r="P233" s="32">
        <f t="shared" si="57"/>
        <v>591</v>
      </c>
      <c r="Q233" s="2"/>
      <c r="R233" s="2"/>
      <c r="S233" s="2"/>
      <c r="T233" s="2"/>
      <c r="U233" s="37">
        <f t="shared" si="56"/>
        <v>1</v>
      </c>
      <c r="V233" s="34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>
        <v>4</v>
      </c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</row>
    <row r="234" spans="1:86">
      <c r="A234" s="35" t="s">
        <v>235</v>
      </c>
      <c r="B234" s="1" t="s">
        <v>236</v>
      </c>
      <c r="C234" s="1" t="s">
        <v>236</v>
      </c>
      <c r="D234" s="1"/>
      <c r="E234" s="2" t="s">
        <v>37</v>
      </c>
      <c r="F234" s="2">
        <v>350</v>
      </c>
      <c r="G234" s="2" t="s">
        <v>216</v>
      </c>
      <c r="H234" s="2">
        <v>136</v>
      </c>
      <c r="I234" s="2">
        <v>1230</v>
      </c>
      <c r="J234" s="12">
        <f t="shared" si="65"/>
        <v>4920</v>
      </c>
      <c r="K234" s="5">
        <f t="shared" si="66"/>
        <v>10336.134453781511</v>
      </c>
      <c r="L234" s="2">
        <v>4</v>
      </c>
      <c r="M234" s="37">
        <f t="shared" si="64"/>
        <v>4</v>
      </c>
      <c r="N234" s="2"/>
      <c r="O234" s="32"/>
      <c r="P234" s="32">
        <f t="shared" si="57"/>
        <v>4920</v>
      </c>
      <c r="Q234" s="2"/>
      <c r="R234" s="2"/>
      <c r="S234" s="2"/>
      <c r="T234" s="2"/>
      <c r="U234" s="37">
        <f t="shared" ref="U234:U283" si="67">+L234-X234-Z234-AD234-AB234-AF234-AH234-AJ234-AL234-AO234-AQ234-AS234-AU234-AW234-AY234-BA234-BC234-BE234-BG234-BI234-BK234-BM234-BO234-BQ234-BS234-BU234-BW234-BY234-CA234-CC234-CE234-CG234</f>
        <v>4</v>
      </c>
      <c r="V234" s="34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</row>
    <row r="235" spans="1:86">
      <c r="A235" s="35" t="s">
        <v>235</v>
      </c>
      <c r="B235" s="1" t="s">
        <v>236</v>
      </c>
      <c r="C235" s="1" t="s">
        <v>236</v>
      </c>
      <c r="D235" s="1"/>
      <c r="E235" s="2" t="s">
        <v>37</v>
      </c>
      <c r="F235" s="2">
        <v>350</v>
      </c>
      <c r="G235" s="2" t="s">
        <v>216</v>
      </c>
      <c r="H235" s="2">
        <v>136</v>
      </c>
      <c r="I235" s="2">
        <v>1252</v>
      </c>
      <c r="J235" s="12">
        <f t="shared" si="65"/>
        <v>1252</v>
      </c>
      <c r="K235" s="5">
        <f t="shared" si="66"/>
        <v>2630.252100840336</v>
      </c>
      <c r="L235" s="2">
        <v>1</v>
      </c>
      <c r="M235" s="37">
        <f t="shared" si="64"/>
        <v>1</v>
      </c>
      <c r="N235" s="2"/>
      <c r="O235" s="32"/>
      <c r="P235" s="32">
        <f t="shared" si="57"/>
        <v>1252</v>
      </c>
      <c r="Q235" s="2"/>
      <c r="R235" s="2"/>
      <c r="S235" s="2"/>
      <c r="T235" s="2"/>
      <c r="U235" s="37">
        <f t="shared" si="67"/>
        <v>1</v>
      </c>
      <c r="V235" s="34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</row>
    <row r="236" spans="1:86">
      <c r="A236" s="35" t="s">
        <v>235</v>
      </c>
      <c r="B236" s="1" t="s">
        <v>236</v>
      </c>
      <c r="C236" s="1" t="s">
        <v>236</v>
      </c>
      <c r="D236" s="1"/>
      <c r="E236" s="2" t="s">
        <v>37</v>
      </c>
      <c r="F236" s="2">
        <v>350</v>
      </c>
      <c r="G236" s="2" t="s">
        <v>216</v>
      </c>
      <c r="H236" s="2">
        <v>136</v>
      </c>
      <c r="I236" s="2">
        <v>1226</v>
      </c>
      <c r="J236" s="12">
        <f t="shared" si="65"/>
        <v>6130</v>
      </c>
      <c r="K236" s="5">
        <f t="shared" si="66"/>
        <v>12878.151260504201</v>
      </c>
      <c r="L236" s="2">
        <v>5</v>
      </c>
      <c r="M236" s="37">
        <f t="shared" si="64"/>
        <v>5</v>
      </c>
      <c r="N236" s="2"/>
      <c r="O236" s="32"/>
      <c r="P236" s="32">
        <f t="shared" si="57"/>
        <v>6130</v>
      </c>
      <c r="Q236" s="2"/>
      <c r="R236" s="2"/>
      <c r="S236" s="2"/>
      <c r="T236" s="2"/>
      <c r="U236" s="37">
        <f t="shared" si="67"/>
        <v>5</v>
      </c>
      <c r="V236" s="34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</row>
    <row r="237" spans="1:86">
      <c r="A237" s="35" t="s">
        <v>235</v>
      </c>
      <c r="B237" s="1" t="s">
        <v>236</v>
      </c>
      <c r="C237" s="1" t="s">
        <v>236</v>
      </c>
      <c r="D237" s="1"/>
      <c r="E237" s="2" t="s">
        <v>37</v>
      </c>
      <c r="F237" s="2">
        <v>350</v>
      </c>
      <c r="G237" s="2" t="s">
        <v>216</v>
      </c>
      <c r="H237" s="2">
        <v>136</v>
      </c>
      <c r="I237" s="2">
        <v>1228</v>
      </c>
      <c r="J237" s="12">
        <f t="shared" si="65"/>
        <v>6140</v>
      </c>
      <c r="K237" s="5">
        <f t="shared" si="66"/>
        <v>12899.159663865545</v>
      </c>
      <c r="L237" s="2">
        <v>5</v>
      </c>
      <c r="M237" s="37">
        <f t="shared" si="64"/>
        <v>5</v>
      </c>
      <c r="N237" s="2"/>
      <c r="O237" s="32"/>
      <c r="P237" s="32">
        <f t="shared" si="57"/>
        <v>6140</v>
      </c>
      <c r="Q237" s="2"/>
      <c r="R237" s="2"/>
      <c r="S237" s="2"/>
      <c r="T237" s="2"/>
      <c r="U237" s="37">
        <f t="shared" si="67"/>
        <v>5</v>
      </c>
      <c r="V237" s="34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</row>
    <row r="238" spans="1:86">
      <c r="A238" s="35" t="s">
        <v>235</v>
      </c>
      <c r="B238" s="1" t="s">
        <v>236</v>
      </c>
      <c r="C238" s="1" t="s">
        <v>236</v>
      </c>
      <c r="D238" s="1"/>
      <c r="E238" s="2" t="s">
        <v>37</v>
      </c>
      <c r="F238" s="2">
        <v>350</v>
      </c>
      <c r="G238" s="2" t="s">
        <v>216</v>
      </c>
      <c r="H238" s="2">
        <v>136</v>
      </c>
      <c r="I238" s="2">
        <v>1240</v>
      </c>
      <c r="J238" s="12">
        <f t="shared" si="65"/>
        <v>3720</v>
      </c>
      <c r="K238" s="5">
        <f t="shared" si="66"/>
        <v>7815.1260504201673</v>
      </c>
      <c r="L238" s="2">
        <v>3</v>
      </c>
      <c r="M238" s="37">
        <f t="shared" si="64"/>
        <v>3</v>
      </c>
      <c r="N238" s="2"/>
      <c r="O238" s="32"/>
      <c r="P238" s="32">
        <f t="shared" si="57"/>
        <v>3720</v>
      </c>
      <c r="Q238" s="2"/>
      <c r="R238" s="2"/>
      <c r="S238" s="2"/>
      <c r="T238" s="2"/>
      <c r="U238" s="37">
        <f t="shared" si="67"/>
        <v>3</v>
      </c>
      <c r="V238" s="34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</row>
    <row r="239" spans="1:86">
      <c r="A239" s="35" t="s">
        <v>237</v>
      </c>
      <c r="B239" s="1" t="s">
        <v>238</v>
      </c>
      <c r="C239" s="1" t="s">
        <v>238</v>
      </c>
      <c r="D239" s="1"/>
      <c r="E239" s="2" t="s">
        <v>37</v>
      </c>
      <c r="F239" s="2">
        <v>450</v>
      </c>
      <c r="G239" s="2" t="s">
        <v>216</v>
      </c>
      <c r="H239" s="2">
        <v>136</v>
      </c>
      <c r="I239" s="2">
        <v>1193</v>
      </c>
      <c r="J239" s="12">
        <f t="shared" ref="J239:J249" si="68">IFERROR(IF(AND(V239=3,U239&gt;0),I239,I239*U239),"Verify")</f>
        <v>8351</v>
      </c>
      <c r="K239" s="5">
        <f t="shared" ref="K239:K249" si="69">+J239/(F239*H239*10^-5)</f>
        <v>13645.424836601305</v>
      </c>
      <c r="L239" s="2">
        <v>7</v>
      </c>
      <c r="M239" s="37">
        <f t="shared" si="64"/>
        <v>7</v>
      </c>
      <c r="N239" s="2"/>
      <c r="O239" s="32"/>
      <c r="P239" s="32">
        <f t="shared" si="57"/>
        <v>8351</v>
      </c>
      <c r="Q239" s="2"/>
      <c r="R239" s="2"/>
      <c r="S239" s="2"/>
      <c r="T239" s="2"/>
      <c r="U239" s="37">
        <f t="shared" si="67"/>
        <v>7</v>
      </c>
      <c r="V239" s="34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</row>
    <row r="240" spans="1:86">
      <c r="A240" s="35" t="s">
        <v>237</v>
      </c>
      <c r="B240" s="1" t="s">
        <v>238</v>
      </c>
      <c r="C240" s="1" t="s">
        <v>238</v>
      </c>
      <c r="D240" s="1"/>
      <c r="E240" s="2" t="s">
        <v>37</v>
      </c>
      <c r="F240" s="2">
        <v>450</v>
      </c>
      <c r="G240" s="2" t="s">
        <v>216</v>
      </c>
      <c r="H240" s="2">
        <v>136</v>
      </c>
      <c r="I240" s="2">
        <v>1190</v>
      </c>
      <c r="J240" s="12">
        <f t="shared" si="68"/>
        <v>5950</v>
      </c>
      <c r="K240" s="5">
        <f t="shared" si="69"/>
        <v>9722.2222222222208</v>
      </c>
      <c r="L240" s="2">
        <v>5</v>
      </c>
      <c r="M240" s="37">
        <f t="shared" si="64"/>
        <v>5</v>
      </c>
      <c r="N240" s="2"/>
      <c r="O240" s="32"/>
      <c r="P240" s="32">
        <f t="shared" ref="P240:P269" si="70">+J240-O240</f>
        <v>5950</v>
      </c>
      <c r="Q240" s="2"/>
      <c r="R240" s="2"/>
      <c r="S240" s="2"/>
      <c r="T240" s="2"/>
      <c r="U240" s="37">
        <f t="shared" si="67"/>
        <v>5</v>
      </c>
      <c r="V240" s="34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</row>
    <row r="241" spans="1:86">
      <c r="A241" s="35" t="s">
        <v>237</v>
      </c>
      <c r="B241" s="1" t="s">
        <v>238</v>
      </c>
      <c r="C241" s="1" t="s">
        <v>238</v>
      </c>
      <c r="D241" s="1"/>
      <c r="E241" s="2" t="s">
        <v>37</v>
      </c>
      <c r="F241" s="2">
        <v>450</v>
      </c>
      <c r="G241" s="2" t="s">
        <v>216</v>
      </c>
      <c r="H241" s="2">
        <v>136</v>
      </c>
      <c r="I241" s="2">
        <v>1196</v>
      </c>
      <c r="J241" s="12">
        <f t="shared" si="68"/>
        <v>5980</v>
      </c>
      <c r="K241" s="5">
        <f t="shared" si="69"/>
        <v>9771.2418300653571</v>
      </c>
      <c r="L241" s="2">
        <v>5</v>
      </c>
      <c r="M241" s="37">
        <f t="shared" si="64"/>
        <v>5</v>
      </c>
      <c r="N241" s="2"/>
      <c r="O241" s="32"/>
      <c r="P241" s="32">
        <f t="shared" si="70"/>
        <v>5980</v>
      </c>
      <c r="Q241" s="2"/>
      <c r="R241" s="2"/>
      <c r="S241" s="2"/>
      <c r="T241" s="2"/>
      <c r="U241" s="37">
        <f t="shared" si="67"/>
        <v>5</v>
      </c>
      <c r="V241" s="34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</row>
    <row r="242" spans="1:86">
      <c r="A242" s="35" t="s">
        <v>239</v>
      </c>
      <c r="B242" s="1" t="s">
        <v>240</v>
      </c>
      <c r="C242" s="1" t="s">
        <v>236</v>
      </c>
      <c r="D242" s="1"/>
      <c r="E242" s="2" t="s">
        <v>37</v>
      </c>
      <c r="F242" s="2">
        <v>350</v>
      </c>
      <c r="G242" s="2" t="s">
        <v>216</v>
      </c>
      <c r="H242" s="2">
        <v>136</v>
      </c>
      <c r="I242" s="2">
        <v>1240</v>
      </c>
      <c r="J242" s="12">
        <f t="shared" si="68"/>
        <v>2480</v>
      </c>
      <c r="K242" s="5">
        <f t="shared" si="69"/>
        <v>5210.0840336134452</v>
      </c>
      <c r="L242" s="2">
        <v>2</v>
      </c>
      <c r="M242" s="37">
        <f t="shared" ref="M242:M248" si="71">+L242-X242-Z242-AD242-AB242-AF242-AH242-AJ242-AL242-AO242-AQ242-AS242-AU242-AW242-AY242-BA242-BC242-BE242-BG242-BI242-BK242-BM242-BO242-BQ242-BS242-BU242-BW242-BY242-CA242-CC242-CE242-CG242</f>
        <v>2</v>
      </c>
      <c r="N242" s="2"/>
      <c r="O242" s="32"/>
      <c r="P242" s="32">
        <f t="shared" si="70"/>
        <v>2480</v>
      </c>
      <c r="Q242" s="2"/>
      <c r="R242" s="2"/>
      <c r="S242" s="2"/>
      <c r="T242" s="2"/>
      <c r="U242" s="37">
        <f t="shared" si="67"/>
        <v>2</v>
      </c>
      <c r="V242" s="34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</row>
    <row r="243" spans="1:86">
      <c r="A243" s="35" t="s">
        <v>239</v>
      </c>
      <c r="B243" s="1" t="s">
        <v>240</v>
      </c>
      <c r="C243" s="1" t="s">
        <v>236</v>
      </c>
      <c r="D243" s="1"/>
      <c r="E243" s="2" t="s">
        <v>37</v>
      </c>
      <c r="F243" s="2">
        <v>350</v>
      </c>
      <c r="G243" s="2" t="s">
        <v>216</v>
      </c>
      <c r="H243" s="2">
        <v>136</v>
      </c>
      <c r="I243" s="2">
        <v>1219</v>
      </c>
      <c r="J243" s="12">
        <f t="shared" si="68"/>
        <v>12190</v>
      </c>
      <c r="K243" s="5">
        <f t="shared" si="69"/>
        <v>25609.243697478989</v>
      </c>
      <c r="L243" s="2">
        <v>10</v>
      </c>
      <c r="M243" s="37">
        <f t="shared" si="71"/>
        <v>10</v>
      </c>
      <c r="N243" s="2"/>
      <c r="O243" s="32"/>
      <c r="P243" s="32">
        <f t="shared" si="70"/>
        <v>12190</v>
      </c>
      <c r="Q243" s="2"/>
      <c r="R243" s="2"/>
      <c r="S243" s="2"/>
      <c r="T243" s="2"/>
      <c r="U243" s="37">
        <f t="shared" si="67"/>
        <v>10</v>
      </c>
      <c r="V243" s="34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</row>
    <row r="244" spans="1:86">
      <c r="A244" s="35" t="s">
        <v>239</v>
      </c>
      <c r="B244" s="1" t="s">
        <v>240</v>
      </c>
      <c r="C244" s="1" t="s">
        <v>236</v>
      </c>
      <c r="D244" s="1"/>
      <c r="E244" s="2" t="s">
        <v>37</v>
      </c>
      <c r="F244" s="2">
        <v>350</v>
      </c>
      <c r="G244" s="2" t="s">
        <v>216</v>
      </c>
      <c r="H244" s="2">
        <v>136</v>
      </c>
      <c r="I244" s="2">
        <v>1221</v>
      </c>
      <c r="J244" s="12">
        <f t="shared" si="68"/>
        <v>6105</v>
      </c>
      <c r="K244" s="5">
        <f t="shared" si="69"/>
        <v>12825.63025210084</v>
      </c>
      <c r="L244" s="2">
        <v>5</v>
      </c>
      <c r="M244" s="37">
        <f t="shared" si="71"/>
        <v>5</v>
      </c>
      <c r="N244" s="2"/>
      <c r="O244" s="32"/>
      <c r="P244" s="32">
        <f t="shared" si="70"/>
        <v>6105</v>
      </c>
      <c r="Q244" s="2"/>
      <c r="R244" s="2"/>
      <c r="S244" s="2"/>
      <c r="T244" s="2"/>
      <c r="U244" s="37">
        <f t="shared" si="67"/>
        <v>5</v>
      </c>
      <c r="V244" s="34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</row>
    <row r="245" spans="1:86">
      <c r="A245" s="35" t="s">
        <v>239</v>
      </c>
      <c r="B245" s="1" t="s">
        <v>240</v>
      </c>
      <c r="C245" s="1" t="s">
        <v>236</v>
      </c>
      <c r="D245" s="1"/>
      <c r="E245" s="2" t="s">
        <v>37</v>
      </c>
      <c r="F245" s="2">
        <v>350</v>
      </c>
      <c r="G245" s="2" t="s">
        <v>216</v>
      </c>
      <c r="H245" s="2">
        <v>136</v>
      </c>
      <c r="I245" s="2">
        <v>1216</v>
      </c>
      <c r="J245" s="12">
        <f t="shared" si="68"/>
        <v>1216</v>
      </c>
      <c r="K245" s="5">
        <f t="shared" si="69"/>
        <v>2554.6218487394958</v>
      </c>
      <c r="L245" s="2">
        <v>1</v>
      </c>
      <c r="M245" s="37">
        <f t="shared" si="71"/>
        <v>1</v>
      </c>
      <c r="N245" s="2"/>
      <c r="O245" s="32"/>
      <c r="P245" s="32">
        <f t="shared" si="70"/>
        <v>1216</v>
      </c>
      <c r="Q245" s="2"/>
      <c r="R245" s="2"/>
      <c r="S245" s="2"/>
      <c r="T245" s="2"/>
      <c r="U245" s="37">
        <f t="shared" si="67"/>
        <v>1</v>
      </c>
      <c r="V245" s="34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</row>
    <row r="246" spans="1:86">
      <c r="A246" s="35">
        <v>45841</v>
      </c>
      <c r="B246" s="1" t="s">
        <v>57</v>
      </c>
      <c r="C246" s="1" t="s">
        <v>57</v>
      </c>
      <c r="D246" s="1"/>
      <c r="E246" s="2" t="s">
        <v>37</v>
      </c>
      <c r="F246" s="2">
        <v>350</v>
      </c>
      <c r="G246" s="2" t="s">
        <v>216</v>
      </c>
      <c r="H246" s="2">
        <v>67</v>
      </c>
      <c r="I246" s="2">
        <v>606.39</v>
      </c>
      <c r="J246" s="12">
        <f t="shared" si="68"/>
        <v>9095.85</v>
      </c>
      <c r="K246" s="5">
        <f t="shared" si="69"/>
        <v>38788.272921108743</v>
      </c>
      <c r="L246" s="2">
        <v>35</v>
      </c>
      <c r="M246" s="37">
        <f t="shared" si="71"/>
        <v>15</v>
      </c>
      <c r="N246" s="2"/>
      <c r="O246" s="32"/>
      <c r="P246" s="32">
        <f t="shared" si="70"/>
        <v>9095.85</v>
      </c>
      <c r="Q246" s="2"/>
      <c r="R246" s="2"/>
      <c r="S246" s="2"/>
      <c r="T246" s="2"/>
      <c r="U246" s="37">
        <f t="shared" si="67"/>
        <v>15</v>
      </c>
      <c r="V246" s="34"/>
      <c r="W246" s="2"/>
      <c r="X246" s="2"/>
      <c r="Y246" s="2"/>
      <c r="Z246" s="2"/>
      <c r="AA246" s="2"/>
      <c r="AB246" s="2">
        <v>20</v>
      </c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</row>
    <row r="247" spans="1:86">
      <c r="A247" s="35">
        <v>45841</v>
      </c>
      <c r="B247" s="1" t="s">
        <v>57</v>
      </c>
      <c r="C247" s="1" t="s">
        <v>57</v>
      </c>
      <c r="D247" s="1"/>
      <c r="E247" s="2" t="s">
        <v>37</v>
      </c>
      <c r="F247" s="2">
        <v>350</v>
      </c>
      <c r="G247" s="2" t="s">
        <v>216</v>
      </c>
      <c r="H247" s="2">
        <v>67</v>
      </c>
      <c r="I247" s="2">
        <v>603.29999999999995</v>
      </c>
      <c r="J247" s="12">
        <f t="shared" si="68"/>
        <v>1206.5999999999999</v>
      </c>
      <c r="K247" s="5">
        <f t="shared" si="69"/>
        <v>5145.4157782515986</v>
      </c>
      <c r="L247" s="2">
        <v>2</v>
      </c>
      <c r="M247" s="37">
        <f t="shared" si="71"/>
        <v>2</v>
      </c>
      <c r="N247" s="2"/>
      <c r="O247" s="32"/>
      <c r="P247" s="32">
        <f t="shared" si="70"/>
        <v>1206.5999999999999</v>
      </c>
      <c r="Q247" s="2"/>
      <c r="R247" s="2"/>
      <c r="S247" s="2"/>
      <c r="T247" s="2"/>
      <c r="U247" s="37">
        <f t="shared" si="67"/>
        <v>2</v>
      </c>
      <c r="V247" s="34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</row>
    <row r="248" spans="1:86">
      <c r="A248" s="35">
        <v>45841</v>
      </c>
      <c r="B248" s="1" t="s">
        <v>57</v>
      </c>
      <c r="C248" s="1" t="s">
        <v>57</v>
      </c>
      <c r="D248" s="1"/>
      <c r="E248" s="2" t="s">
        <v>37</v>
      </c>
      <c r="F248" s="2">
        <v>350</v>
      </c>
      <c r="G248" s="2" t="s">
        <v>216</v>
      </c>
      <c r="H248" s="2">
        <v>67</v>
      </c>
      <c r="I248" s="2">
        <v>614</v>
      </c>
      <c r="J248" s="12">
        <f t="shared" si="68"/>
        <v>1228</v>
      </c>
      <c r="K248" s="5">
        <f t="shared" si="69"/>
        <v>5236.6737739872069</v>
      </c>
      <c r="L248" s="2">
        <v>2</v>
      </c>
      <c r="M248" s="37">
        <f t="shared" si="71"/>
        <v>2</v>
      </c>
      <c r="N248" s="2"/>
      <c r="O248" s="32"/>
      <c r="P248" s="32">
        <f t="shared" si="70"/>
        <v>1228</v>
      </c>
      <c r="Q248" s="2"/>
      <c r="R248" s="2"/>
      <c r="S248" s="2"/>
      <c r="T248" s="2"/>
      <c r="U248" s="37">
        <f t="shared" si="67"/>
        <v>2</v>
      </c>
      <c r="V248" s="34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</row>
    <row r="249" spans="1:86">
      <c r="A249" s="35">
        <v>45842</v>
      </c>
      <c r="B249" s="1" t="s">
        <v>62</v>
      </c>
      <c r="C249" s="1" t="s">
        <v>62</v>
      </c>
      <c r="D249" s="1"/>
      <c r="E249" s="2" t="s">
        <v>37</v>
      </c>
      <c r="F249" s="2">
        <v>400</v>
      </c>
      <c r="G249" s="2" t="s">
        <v>216</v>
      </c>
      <c r="H249" s="2">
        <v>67</v>
      </c>
      <c r="I249" s="2">
        <v>601</v>
      </c>
      <c r="J249" s="12">
        <f t="shared" si="68"/>
        <v>1803</v>
      </c>
      <c r="K249" s="5">
        <f t="shared" si="69"/>
        <v>6727.6119402985069</v>
      </c>
      <c r="L249" s="2">
        <v>3</v>
      </c>
      <c r="M249" s="37">
        <f t="shared" ref="M249:M269" si="72">+L249-X249-Z249-AD249-AB249-AF249-AH249-AJ249-AL249-AO249-AQ249-AS249-AU249-AW249-AY249-BA249-BC249-BE249-BG249-BI249-BK249-BM249-BO249-BQ249-BS249-BU249-BW249-BY249-CA249-CC249-CE249-CG249</f>
        <v>3</v>
      </c>
      <c r="N249" s="2"/>
      <c r="O249" s="32"/>
      <c r="P249" s="32">
        <f t="shared" si="70"/>
        <v>1803</v>
      </c>
      <c r="Q249" s="2"/>
      <c r="R249" s="2"/>
      <c r="S249" s="2"/>
      <c r="T249" s="2"/>
      <c r="U249" s="37">
        <f t="shared" si="67"/>
        <v>3</v>
      </c>
      <c r="V249" s="34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</row>
    <row r="250" spans="1:86">
      <c r="A250" s="35">
        <v>45842</v>
      </c>
      <c r="B250" s="1" t="s">
        <v>220</v>
      </c>
      <c r="C250" s="1" t="s">
        <v>220</v>
      </c>
      <c r="D250" s="1"/>
      <c r="E250" s="2" t="s">
        <v>37</v>
      </c>
      <c r="F250" s="2">
        <v>400</v>
      </c>
      <c r="G250" s="2" t="s">
        <v>216</v>
      </c>
      <c r="H250" s="2">
        <v>136</v>
      </c>
      <c r="I250" s="2">
        <v>1216</v>
      </c>
      <c r="J250" s="12">
        <f t="shared" ref="J250:J264" si="73">IFERROR(IF(AND(V250=3,U250&gt;0),I250,I250*U250),"Verify")</f>
        <v>21888</v>
      </c>
      <c r="K250" s="5">
        <f t="shared" ref="K250:K264" si="74">+J250/(F250*H250*10^-5)</f>
        <v>40235.294117647056</v>
      </c>
      <c r="L250" s="2">
        <v>18</v>
      </c>
      <c r="M250" s="37">
        <f t="shared" si="72"/>
        <v>18</v>
      </c>
      <c r="N250" s="2"/>
      <c r="O250" s="32"/>
      <c r="P250" s="32">
        <f t="shared" si="70"/>
        <v>21888</v>
      </c>
      <c r="Q250" s="2"/>
      <c r="R250" s="2"/>
      <c r="S250" s="2"/>
      <c r="T250" s="2"/>
      <c r="U250" s="37">
        <f t="shared" si="67"/>
        <v>18</v>
      </c>
      <c r="V250" s="34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</row>
    <row r="251" spans="1:86">
      <c r="A251" s="35">
        <v>45842</v>
      </c>
      <c r="B251" s="1" t="s">
        <v>62</v>
      </c>
      <c r="C251" s="1" t="s">
        <v>62</v>
      </c>
      <c r="D251" s="1"/>
      <c r="E251" s="2" t="s">
        <v>37</v>
      </c>
      <c r="F251" s="2">
        <v>400</v>
      </c>
      <c r="G251" s="2" t="s">
        <v>216</v>
      </c>
      <c r="H251" s="2">
        <v>67</v>
      </c>
      <c r="I251" s="2">
        <v>601</v>
      </c>
      <c r="J251" s="12">
        <f t="shared" si="73"/>
        <v>1803</v>
      </c>
      <c r="K251" s="5">
        <f t="shared" si="74"/>
        <v>6727.6119402985069</v>
      </c>
      <c r="L251" s="2">
        <v>3</v>
      </c>
      <c r="M251" s="37">
        <f t="shared" si="72"/>
        <v>3</v>
      </c>
      <c r="N251" s="2"/>
      <c r="O251" s="32"/>
      <c r="P251" s="32">
        <f t="shared" si="70"/>
        <v>1803</v>
      </c>
      <c r="Q251" s="2"/>
      <c r="R251" s="2"/>
      <c r="S251" s="2"/>
      <c r="T251" s="2"/>
      <c r="U251" s="37">
        <f t="shared" si="67"/>
        <v>3</v>
      </c>
      <c r="V251" s="34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</row>
    <row r="252" spans="1:86">
      <c r="A252" s="35">
        <v>45842</v>
      </c>
      <c r="B252" s="1" t="s">
        <v>220</v>
      </c>
      <c r="C252" s="1" t="s">
        <v>220</v>
      </c>
      <c r="D252" s="1"/>
      <c r="E252" s="2" t="s">
        <v>37</v>
      </c>
      <c r="F252" s="2">
        <v>400</v>
      </c>
      <c r="G252" s="2" t="s">
        <v>216</v>
      </c>
      <c r="H252" s="2">
        <v>136</v>
      </c>
      <c r="I252" s="2">
        <v>1201</v>
      </c>
      <c r="J252" s="12">
        <f t="shared" si="73"/>
        <v>21618</v>
      </c>
      <c r="K252" s="5">
        <f t="shared" si="74"/>
        <v>39738.970588235294</v>
      </c>
      <c r="L252" s="2">
        <v>18</v>
      </c>
      <c r="M252" s="37">
        <f t="shared" si="72"/>
        <v>18</v>
      </c>
      <c r="N252" s="2"/>
      <c r="O252" s="32"/>
      <c r="P252" s="32">
        <f t="shared" si="70"/>
        <v>21618</v>
      </c>
      <c r="Q252" s="2"/>
      <c r="R252" s="2"/>
      <c r="S252" s="2"/>
      <c r="T252" s="2"/>
      <c r="U252" s="37">
        <f t="shared" si="67"/>
        <v>18</v>
      </c>
      <c r="V252" s="34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</row>
    <row r="253" spans="1:86">
      <c r="A253" s="35">
        <v>45842</v>
      </c>
      <c r="B253" s="1" t="s">
        <v>62</v>
      </c>
      <c r="C253" s="1" t="s">
        <v>62</v>
      </c>
      <c r="D253" s="1"/>
      <c r="E253" s="2" t="s">
        <v>37</v>
      </c>
      <c r="F253" s="2">
        <v>400</v>
      </c>
      <c r="G253" s="2" t="s">
        <v>216</v>
      </c>
      <c r="H253" s="2">
        <v>67</v>
      </c>
      <c r="I253" s="2">
        <v>598.5</v>
      </c>
      <c r="J253" s="12">
        <f t="shared" si="73"/>
        <v>22743</v>
      </c>
      <c r="K253" s="5">
        <f t="shared" si="74"/>
        <v>84861.940298507456</v>
      </c>
      <c r="L253" s="2">
        <v>38</v>
      </c>
      <c r="M253" s="37">
        <f t="shared" si="72"/>
        <v>38</v>
      </c>
      <c r="N253" s="2"/>
      <c r="O253" s="32"/>
      <c r="P253" s="32">
        <f t="shared" si="70"/>
        <v>22743</v>
      </c>
      <c r="Q253" s="2"/>
      <c r="R253" s="2"/>
      <c r="S253" s="2"/>
      <c r="T253" s="2"/>
      <c r="U253" s="37">
        <f t="shared" si="67"/>
        <v>38</v>
      </c>
      <c r="V253" s="34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</row>
    <row r="254" spans="1:86">
      <c r="A254" s="35">
        <v>45842</v>
      </c>
      <c r="B254" s="1" t="s">
        <v>62</v>
      </c>
      <c r="C254" s="1" t="s">
        <v>62</v>
      </c>
      <c r="D254" s="1"/>
      <c r="E254" s="2" t="s">
        <v>37</v>
      </c>
      <c r="F254" s="2">
        <v>400</v>
      </c>
      <c r="G254" s="2" t="s">
        <v>216</v>
      </c>
      <c r="H254" s="2">
        <v>67</v>
      </c>
      <c r="I254" s="2">
        <v>601</v>
      </c>
      <c r="J254" s="12">
        <f t="shared" si="73"/>
        <v>1803</v>
      </c>
      <c r="K254" s="5">
        <f t="shared" si="74"/>
        <v>6727.6119402985069</v>
      </c>
      <c r="L254" s="2">
        <v>3</v>
      </c>
      <c r="M254" s="37">
        <f t="shared" si="72"/>
        <v>3</v>
      </c>
      <c r="N254" s="2"/>
      <c r="O254" s="32"/>
      <c r="P254" s="32">
        <f t="shared" si="70"/>
        <v>1803</v>
      </c>
      <c r="Q254" s="2"/>
      <c r="R254" s="2"/>
      <c r="S254" s="2"/>
      <c r="T254" s="2"/>
      <c r="U254" s="37">
        <f t="shared" si="67"/>
        <v>3</v>
      </c>
      <c r="V254" s="34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</row>
    <row r="255" spans="1:86">
      <c r="A255" s="35">
        <v>45842</v>
      </c>
      <c r="B255" s="1" t="s">
        <v>220</v>
      </c>
      <c r="C255" s="1" t="s">
        <v>220</v>
      </c>
      <c r="D255" s="1"/>
      <c r="E255" s="2" t="s">
        <v>37</v>
      </c>
      <c r="F255" s="2">
        <v>400</v>
      </c>
      <c r="G255" s="2" t="s">
        <v>216</v>
      </c>
      <c r="H255" s="2">
        <v>136</v>
      </c>
      <c r="I255" s="2">
        <v>1214.7</v>
      </c>
      <c r="J255" s="12">
        <f t="shared" si="73"/>
        <v>21864.600000000002</v>
      </c>
      <c r="K255" s="5">
        <f t="shared" si="74"/>
        <v>40192.279411764706</v>
      </c>
      <c r="L255" s="2">
        <v>18</v>
      </c>
      <c r="M255" s="37">
        <f t="shared" si="72"/>
        <v>18</v>
      </c>
      <c r="N255" s="2"/>
      <c r="O255" s="32"/>
      <c r="P255" s="32">
        <f t="shared" si="70"/>
        <v>21864.600000000002</v>
      </c>
      <c r="Q255" s="2"/>
      <c r="R255" s="2"/>
      <c r="S255" s="2"/>
      <c r="T255" s="2"/>
      <c r="U255" s="37">
        <f t="shared" si="67"/>
        <v>18</v>
      </c>
      <c r="V255" s="34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</row>
    <row r="256" spans="1:86">
      <c r="A256" s="35">
        <v>45843</v>
      </c>
      <c r="B256" s="1" t="s">
        <v>241</v>
      </c>
      <c r="C256" s="1" t="s">
        <v>241</v>
      </c>
      <c r="D256" s="1"/>
      <c r="E256" s="2" t="s">
        <v>83</v>
      </c>
      <c r="F256" s="2">
        <v>50</v>
      </c>
      <c r="G256" s="2" t="s">
        <v>242</v>
      </c>
      <c r="H256" s="2">
        <v>100</v>
      </c>
      <c r="I256" s="2">
        <v>484.3</v>
      </c>
      <c r="J256" s="12">
        <f t="shared" si="73"/>
        <v>23246.400000000001</v>
      </c>
      <c r="K256" s="5">
        <f t="shared" si="74"/>
        <v>464928</v>
      </c>
      <c r="L256" s="2">
        <v>48</v>
      </c>
      <c r="M256" s="37">
        <f t="shared" si="72"/>
        <v>48</v>
      </c>
      <c r="N256" s="2"/>
      <c r="O256" s="32"/>
      <c r="P256" s="32">
        <f t="shared" si="70"/>
        <v>23246.400000000001</v>
      </c>
      <c r="Q256" s="2"/>
      <c r="R256" s="2"/>
      <c r="S256" s="2"/>
      <c r="T256" s="2"/>
      <c r="U256" s="37">
        <f t="shared" si="67"/>
        <v>48</v>
      </c>
      <c r="V256" s="34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</row>
    <row r="257" spans="1:86">
      <c r="A257" s="35">
        <v>45843</v>
      </c>
      <c r="B257" s="1" t="s">
        <v>230</v>
      </c>
      <c r="C257" s="1" t="s">
        <v>230</v>
      </c>
      <c r="D257" s="1"/>
      <c r="E257" s="2" t="s">
        <v>37</v>
      </c>
      <c r="F257" s="2">
        <v>350</v>
      </c>
      <c r="G257" s="2" t="s">
        <v>216</v>
      </c>
      <c r="H257" s="2">
        <v>210</v>
      </c>
      <c r="I257" s="2">
        <v>1897.8</v>
      </c>
      <c r="J257" s="12">
        <f t="shared" si="73"/>
        <v>11386.8</v>
      </c>
      <c r="K257" s="5">
        <f t="shared" si="74"/>
        <v>15492.244897959181</v>
      </c>
      <c r="L257" s="2">
        <v>6</v>
      </c>
      <c r="M257" s="37">
        <f t="shared" si="72"/>
        <v>6</v>
      </c>
      <c r="N257" s="2"/>
      <c r="O257" s="32"/>
      <c r="P257" s="32">
        <f t="shared" si="70"/>
        <v>11386.8</v>
      </c>
      <c r="Q257" s="2"/>
      <c r="R257" s="2"/>
      <c r="S257" s="2"/>
      <c r="T257" s="2"/>
      <c r="U257" s="37">
        <f t="shared" si="67"/>
        <v>6</v>
      </c>
      <c r="V257" s="34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</row>
    <row r="258" spans="1:86">
      <c r="A258" s="35">
        <v>45843</v>
      </c>
      <c r="B258" s="1" t="s">
        <v>60</v>
      </c>
      <c r="C258" s="1" t="s">
        <v>60</v>
      </c>
      <c r="D258" s="1"/>
      <c r="E258" s="2" t="s">
        <v>37</v>
      </c>
      <c r="F258" s="2">
        <v>400</v>
      </c>
      <c r="G258" s="2" t="s">
        <v>216</v>
      </c>
      <c r="H258" s="2">
        <v>236</v>
      </c>
      <c r="I258" s="2">
        <v>2100.6</v>
      </c>
      <c r="J258" s="12">
        <f t="shared" si="73"/>
        <v>23106.6</v>
      </c>
      <c r="K258" s="5">
        <f t="shared" si="74"/>
        <v>24477.330508474573</v>
      </c>
      <c r="L258" s="2">
        <v>11</v>
      </c>
      <c r="M258" s="37">
        <f t="shared" si="72"/>
        <v>11</v>
      </c>
      <c r="N258" s="2"/>
      <c r="O258" s="32"/>
      <c r="P258" s="32">
        <f t="shared" si="70"/>
        <v>23106.6</v>
      </c>
      <c r="Q258" s="2"/>
      <c r="R258" s="2"/>
      <c r="S258" s="2"/>
      <c r="T258" s="2"/>
      <c r="U258" s="37">
        <f t="shared" si="67"/>
        <v>11</v>
      </c>
      <c r="V258" s="34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</row>
    <row r="259" spans="1:86">
      <c r="A259" s="35">
        <v>45843</v>
      </c>
      <c r="B259" s="1" t="s">
        <v>220</v>
      </c>
      <c r="C259" s="1" t="s">
        <v>220</v>
      </c>
      <c r="D259" s="1"/>
      <c r="E259" s="2" t="s">
        <v>37</v>
      </c>
      <c r="F259" s="2">
        <v>400</v>
      </c>
      <c r="G259" s="2" t="s">
        <v>216</v>
      </c>
      <c r="H259" s="2">
        <v>136</v>
      </c>
      <c r="I259" s="2">
        <v>1214.5</v>
      </c>
      <c r="J259" s="12">
        <f t="shared" si="73"/>
        <v>7287</v>
      </c>
      <c r="K259" s="5">
        <f t="shared" si="74"/>
        <v>13395.220588235294</v>
      </c>
      <c r="L259" s="2">
        <v>6</v>
      </c>
      <c r="M259" s="37">
        <f t="shared" si="72"/>
        <v>6</v>
      </c>
      <c r="N259" s="2"/>
      <c r="O259" s="32"/>
      <c r="P259" s="32">
        <f t="shared" si="70"/>
        <v>7287</v>
      </c>
      <c r="Q259" s="2"/>
      <c r="R259" s="2"/>
      <c r="S259" s="2"/>
      <c r="T259" s="2"/>
      <c r="U259" s="37">
        <f t="shared" si="67"/>
        <v>6</v>
      </c>
      <c r="V259" s="34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</row>
    <row r="260" spans="1:86">
      <c r="A260" s="35">
        <v>45843</v>
      </c>
      <c r="B260" s="1" t="s">
        <v>60</v>
      </c>
      <c r="C260" s="1" t="s">
        <v>60</v>
      </c>
      <c r="D260" s="1"/>
      <c r="E260" s="2" t="s">
        <v>37</v>
      </c>
      <c r="F260" s="2">
        <v>400</v>
      </c>
      <c r="G260" s="2" t="s">
        <v>216</v>
      </c>
      <c r="H260" s="2">
        <v>236</v>
      </c>
      <c r="I260" s="2">
        <v>2115</v>
      </c>
      <c r="J260" s="12">
        <f t="shared" si="73"/>
        <v>4230</v>
      </c>
      <c r="K260" s="5">
        <f t="shared" si="74"/>
        <v>4480.9322033898306</v>
      </c>
      <c r="L260" s="2">
        <v>2</v>
      </c>
      <c r="M260" s="37">
        <f t="shared" si="72"/>
        <v>2</v>
      </c>
      <c r="N260" s="2"/>
      <c r="O260" s="32"/>
      <c r="P260" s="32">
        <f t="shared" si="70"/>
        <v>4230</v>
      </c>
      <c r="Q260" s="2"/>
      <c r="R260" s="2"/>
      <c r="S260" s="2"/>
      <c r="T260" s="2"/>
      <c r="U260" s="37">
        <f t="shared" si="67"/>
        <v>2</v>
      </c>
      <c r="V260" s="34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</row>
    <row r="261" spans="1:86">
      <c r="A261" s="35">
        <v>45843</v>
      </c>
      <c r="B261" s="1" t="s">
        <v>238</v>
      </c>
      <c r="C261" s="1" t="s">
        <v>238</v>
      </c>
      <c r="D261" s="1"/>
      <c r="E261" s="2" t="s">
        <v>37</v>
      </c>
      <c r="F261" s="2">
        <v>450</v>
      </c>
      <c r="G261" s="2" t="s">
        <v>216</v>
      </c>
      <c r="H261" s="2">
        <v>136</v>
      </c>
      <c r="I261" s="2">
        <v>1206.8</v>
      </c>
      <c r="J261" s="12">
        <f t="shared" si="73"/>
        <v>7240.7999999999993</v>
      </c>
      <c r="K261" s="5">
        <f t="shared" si="74"/>
        <v>11831.372549019605</v>
      </c>
      <c r="L261" s="2">
        <v>7</v>
      </c>
      <c r="M261" s="37">
        <f t="shared" si="72"/>
        <v>6</v>
      </c>
      <c r="N261" s="2"/>
      <c r="O261" s="32"/>
      <c r="P261" s="32">
        <f t="shared" si="70"/>
        <v>7240.7999999999993</v>
      </c>
      <c r="Q261" s="2"/>
      <c r="R261" s="2"/>
      <c r="S261" s="2"/>
      <c r="T261" s="2"/>
      <c r="U261" s="37">
        <f t="shared" si="67"/>
        <v>6</v>
      </c>
      <c r="V261" s="34"/>
      <c r="W261" s="2"/>
      <c r="X261" s="2"/>
      <c r="Y261" s="2"/>
      <c r="Z261" s="2"/>
      <c r="AA261" s="2"/>
      <c r="AB261" s="2">
        <v>1</v>
      </c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</row>
    <row r="262" spans="1:86">
      <c r="A262" s="35">
        <v>45845</v>
      </c>
      <c r="B262" s="1" t="s">
        <v>57</v>
      </c>
      <c r="C262" s="1" t="s">
        <v>57</v>
      </c>
      <c r="D262" s="1"/>
      <c r="E262" s="2" t="s">
        <v>37</v>
      </c>
      <c r="F262" s="2">
        <v>350</v>
      </c>
      <c r="G262" s="2" t="s">
        <v>216</v>
      </c>
      <c r="H262" s="2">
        <v>67</v>
      </c>
      <c r="I262" s="2">
        <v>612</v>
      </c>
      <c r="J262" s="12">
        <f t="shared" si="73"/>
        <v>612</v>
      </c>
      <c r="K262" s="5">
        <f t="shared" si="74"/>
        <v>2609.8081023454156</v>
      </c>
      <c r="L262" s="2">
        <v>1</v>
      </c>
      <c r="M262" s="37">
        <f t="shared" si="72"/>
        <v>1</v>
      </c>
      <c r="N262" s="2"/>
      <c r="O262" s="32"/>
      <c r="P262" s="32">
        <f t="shared" si="70"/>
        <v>612</v>
      </c>
      <c r="Q262" s="2"/>
      <c r="R262" s="2"/>
      <c r="S262" s="2"/>
      <c r="T262" s="2"/>
      <c r="U262" s="37">
        <f t="shared" si="67"/>
        <v>1</v>
      </c>
      <c r="V262" s="34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</row>
    <row r="263" spans="1:86">
      <c r="A263" s="35">
        <v>45845</v>
      </c>
      <c r="B263" s="1" t="s">
        <v>236</v>
      </c>
      <c r="C263" s="1" t="s">
        <v>236</v>
      </c>
      <c r="D263" s="1"/>
      <c r="E263" s="2" t="s">
        <v>37</v>
      </c>
      <c r="F263" s="2">
        <v>350</v>
      </c>
      <c r="G263" s="2" t="s">
        <v>216</v>
      </c>
      <c r="H263" s="2">
        <v>136</v>
      </c>
      <c r="I263" s="2">
        <v>1217</v>
      </c>
      <c r="J263" s="12">
        <f t="shared" si="73"/>
        <v>21906</v>
      </c>
      <c r="K263" s="5">
        <f t="shared" si="74"/>
        <v>46021.008403361338</v>
      </c>
      <c r="L263" s="2">
        <v>18</v>
      </c>
      <c r="M263" s="37">
        <f t="shared" si="72"/>
        <v>18</v>
      </c>
      <c r="N263" s="2"/>
      <c r="O263" s="32"/>
      <c r="P263" s="32">
        <f t="shared" si="70"/>
        <v>21906</v>
      </c>
      <c r="Q263" s="2"/>
      <c r="R263" s="2"/>
      <c r="S263" s="2"/>
      <c r="T263" s="2"/>
      <c r="U263" s="37">
        <f t="shared" si="67"/>
        <v>18</v>
      </c>
      <c r="V263" s="34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</row>
    <row r="264" spans="1:86">
      <c r="A264" s="35">
        <v>45845</v>
      </c>
      <c r="B264" s="1" t="s">
        <v>57</v>
      </c>
      <c r="C264" s="1" t="s">
        <v>57</v>
      </c>
      <c r="D264" s="1"/>
      <c r="E264" s="2" t="s">
        <v>37</v>
      </c>
      <c r="F264" s="2">
        <v>350</v>
      </c>
      <c r="G264" s="2" t="s">
        <v>216</v>
      </c>
      <c r="H264" s="2">
        <v>67</v>
      </c>
      <c r="I264" s="2">
        <v>612</v>
      </c>
      <c r="J264" s="12">
        <f t="shared" si="73"/>
        <v>612</v>
      </c>
      <c r="K264" s="5">
        <f t="shared" si="74"/>
        <v>2609.8081023454156</v>
      </c>
      <c r="L264" s="2">
        <v>1</v>
      </c>
      <c r="M264" s="37">
        <f t="shared" si="72"/>
        <v>1</v>
      </c>
      <c r="N264" s="2"/>
      <c r="O264" s="32"/>
      <c r="P264" s="32">
        <f t="shared" si="70"/>
        <v>612</v>
      </c>
      <c r="Q264" s="2"/>
      <c r="R264" s="2"/>
      <c r="S264" s="2"/>
      <c r="T264" s="2"/>
      <c r="U264" s="37">
        <f t="shared" si="67"/>
        <v>1</v>
      </c>
      <c r="V264" s="34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</row>
    <row r="265" spans="1:86">
      <c r="A265" s="35">
        <v>45845</v>
      </c>
      <c r="B265" s="1" t="s">
        <v>236</v>
      </c>
      <c r="C265" s="1" t="s">
        <v>236</v>
      </c>
      <c r="D265" s="1"/>
      <c r="E265" s="2" t="s">
        <v>37</v>
      </c>
      <c r="F265" s="2">
        <v>350</v>
      </c>
      <c r="G265" s="2" t="s">
        <v>216</v>
      </c>
      <c r="H265" s="2">
        <v>136</v>
      </c>
      <c r="I265" s="2">
        <v>1218.5</v>
      </c>
      <c r="J265" s="12">
        <f t="shared" ref="J265:J268" si="75">IFERROR(IF(AND(V265=3,U265&gt;0),I265,I265*U265),"Verify")</f>
        <v>21933</v>
      </c>
      <c r="K265" s="5">
        <f t="shared" ref="K265:K268" si="76">+J265/(F265*H265*10^-5)</f>
        <v>46077.731092436974</v>
      </c>
      <c r="L265" s="2">
        <v>18</v>
      </c>
      <c r="M265" s="37">
        <f t="shared" si="72"/>
        <v>18</v>
      </c>
      <c r="N265" s="2"/>
      <c r="O265" s="32"/>
      <c r="P265" s="32">
        <f t="shared" si="70"/>
        <v>21933</v>
      </c>
      <c r="Q265" s="2"/>
      <c r="R265" s="2"/>
      <c r="S265" s="2"/>
      <c r="T265" s="2"/>
      <c r="U265" s="37">
        <f t="shared" si="67"/>
        <v>18</v>
      </c>
      <c r="V265" s="34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</row>
    <row r="266" spans="1:86">
      <c r="A266" s="35">
        <v>45845</v>
      </c>
      <c r="B266" s="1" t="s">
        <v>63</v>
      </c>
      <c r="C266" s="1" t="s">
        <v>63</v>
      </c>
      <c r="D266" s="1"/>
      <c r="E266" s="2" t="s">
        <v>37</v>
      </c>
      <c r="F266" s="2">
        <v>350</v>
      </c>
      <c r="G266" s="2" t="s">
        <v>216</v>
      </c>
      <c r="H266" s="2">
        <v>168</v>
      </c>
      <c r="I266" s="2">
        <v>1523.4</v>
      </c>
      <c r="J266" s="12">
        <f t="shared" si="75"/>
        <v>22851</v>
      </c>
      <c r="K266" s="5">
        <f t="shared" si="76"/>
        <v>38862.244897959179</v>
      </c>
      <c r="L266" s="2">
        <v>15</v>
      </c>
      <c r="M266" s="37">
        <f t="shared" si="72"/>
        <v>15</v>
      </c>
      <c r="N266" s="2"/>
      <c r="O266" s="32"/>
      <c r="P266" s="32">
        <f t="shared" si="70"/>
        <v>22851</v>
      </c>
      <c r="Q266" s="2"/>
      <c r="R266" s="2"/>
      <c r="S266" s="2"/>
      <c r="T266" s="2"/>
      <c r="U266" s="37">
        <f t="shared" si="67"/>
        <v>15</v>
      </c>
      <c r="V266" s="34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</row>
    <row r="267" spans="1:86">
      <c r="A267" s="35">
        <v>45845</v>
      </c>
      <c r="B267" s="1" t="s">
        <v>60</v>
      </c>
      <c r="C267" s="1" t="s">
        <v>60</v>
      </c>
      <c r="D267" s="1"/>
      <c r="E267" s="2" t="s">
        <v>37</v>
      </c>
      <c r="F267" s="2">
        <v>400</v>
      </c>
      <c r="G267" s="2" t="s">
        <v>216</v>
      </c>
      <c r="H267" s="2">
        <v>236</v>
      </c>
      <c r="I267" s="2">
        <v>2107</v>
      </c>
      <c r="J267" s="12">
        <f t="shared" si="75"/>
        <v>18963</v>
      </c>
      <c r="K267" s="5">
        <f t="shared" si="76"/>
        <v>20087.923728813559</v>
      </c>
      <c r="L267" s="2">
        <v>9</v>
      </c>
      <c r="M267" s="37">
        <f t="shared" si="72"/>
        <v>9</v>
      </c>
      <c r="N267" s="2"/>
      <c r="O267" s="32"/>
      <c r="P267" s="32">
        <f t="shared" si="70"/>
        <v>18963</v>
      </c>
      <c r="Q267" s="2"/>
      <c r="R267" s="2"/>
      <c r="S267" s="2"/>
      <c r="T267" s="2"/>
      <c r="U267" s="37">
        <f t="shared" si="67"/>
        <v>9</v>
      </c>
      <c r="V267" s="34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</row>
    <row r="268" spans="1:86">
      <c r="A268" s="35">
        <v>45846</v>
      </c>
      <c r="B268" s="1" t="s">
        <v>57</v>
      </c>
      <c r="C268" s="1" t="s">
        <v>57</v>
      </c>
      <c r="D268" s="1"/>
      <c r="E268" s="2" t="s">
        <v>37</v>
      </c>
      <c r="F268" s="2">
        <v>350</v>
      </c>
      <c r="G268" s="2" t="s">
        <v>216</v>
      </c>
      <c r="H268" s="2">
        <v>67</v>
      </c>
      <c r="I268" s="2">
        <v>614</v>
      </c>
      <c r="J268" s="12">
        <f t="shared" si="75"/>
        <v>3684</v>
      </c>
      <c r="K268" s="5">
        <f t="shared" si="76"/>
        <v>15710.02132196162</v>
      </c>
      <c r="L268" s="2">
        <v>6</v>
      </c>
      <c r="M268" s="37">
        <f t="shared" si="72"/>
        <v>6</v>
      </c>
      <c r="N268" s="2"/>
      <c r="O268" s="32"/>
      <c r="P268" s="32">
        <f t="shared" si="70"/>
        <v>3684</v>
      </c>
      <c r="Q268" s="2"/>
      <c r="R268" s="2"/>
      <c r="S268" s="2"/>
      <c r="T268" s="2"/>
      <c r="U268" s="37">
        <f t="shared" si="67"/>
        <v>6</v>
      </c>
      <c r="V268" s="34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</row>
    <row r="269" spans="1:86">
      <c r="A269" s="35">
        <v>45846</v>
      </c>
      <c r="B269" s="1" t="s">
        <v>236</v>
      </c>
      <c r="C269" s="1" t="s">
        <v>236</v>
      </c>
      <c r="D269" s="1"/>
      <c r="E269" s="2" t="s">
        <v>37</v>
      </c>
      <c r="F269" s="2">
        <v>350</v>
      </c>
      <c r="G269" s="2" t="s">
        <v>216</v>
      </c>
      <c r="H269" s="2">
        <v>136</v>
      </c>
      <c r="I269" s="2">
        <v>1218.5</v>
      </c>
      <c r="J269" s="12">
        <f t="shared" ref="J269:J270" si="77">IFERROR(IF(AND(V269=3,U269&gt;0),I269,I269*U269),"Verify")</f>
        <v>6092.5</v>
      </c>
      <c r="K269" s="5">
        <f t="shared" ref="K269:K270" si="78">+J269/(F269*H269*10^-5)</f>
        <v>12799.369747899158</v>
      </c>
      <c r="L269" s="2">
        <v>5</v>
      </c>
      <c r="M269" s="37">
        <f t="shared" si="72"/>
        <v>5</v>
      </c>
      <c r="N269" s="2"/>
      <c r="O269" s="32"/>
      <c r="P269" s="32">
        <f t="shared" si="70"/>
        <v>6092.5</v>
      </c>
      <c r="Q269" s="2"/>
      <c r="R269" s="2"/>
      <c r="S269" s="2"/>
      <c r="T269" s="2"/>
      <c r="U269" s="37">
        <f t="shared" si="67"/>
        <v>5</v>
      </c>
      <c r="V269" s="34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 spans="1:86">
      <c r="A270" s="35">
        <v>45846</v>
      </c>
      <c r="B270" s="1" t="s">
        <v>63</v>
      </c>
      <c r="C270" s="1" t="s">
        <v>63</v>
      </c>
      <c r="D270" s="1"/>
      <c r="E270" s="2" t="s">
        <v>37</v>
      </c>
      <c r="F270" s="2">
        <v>350</v>
      </c>
      <c r="G270" s="2" t="s">
        <v>216</v>
      </c>
      <c r="H270" s="2">
        <v>168</v>
      </c>
      <c r="I270" s="2">
        <v>1529</v>
      </c>
      <c r="J270" s="12">
        <f t="shared" si="77"/>
        <v>6116</v>
      </c>
      <c r="K270" s="5">
        <f t="shared" si="78"/>
        <v>10401.360544217685</v>
      </c>
      <c r="L270" s="2">
        <v>4</v>
      </c>
      <c r="M270" s="37">
        <f>+L270-X270-Z270-AD270-AB270-AF270-AH270-AJ270-AL270-AO270-AQ270-AS270-AU270-AW270-AY270-BA270-BC270-BE270-BG270-BI270-BK270-BM270-BO270-BQ270-BS270-BU270-BW270-BY270-CA270-CC270-CE270-CG270</f>
        <v>4</v>
      </c>
      <c r="N270" s="2"/>
      <c r="O270" s="32"/>
      <c r="P270" s="32"/>
      <c r="Q270" s="2"/>
      <c r="R270" s="2"/>
      <c r="S270" s="2"/>
      <c r="T270" s="2"/>
      <c r="U270" s="37">
        <f t="shared" si="67"/>
        <v>4</v>
      </c>
      <c r="V270" s="34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</row>
    <row r="271" spans="1:86">
      <c r="A271" s="35">
        <v>45847</v>
      </c>
      <c r="B271" s="1" t="s">
        <v>62</v>
      </c>
      <c r="C271" s="1" t="s">
        <v>62</v>
      </c>
      <c r="D271" s="1" t="s">
        <v>16</v>
      </c>
      <c r="E271" s="2" t="s">
        <v>37</v>
      </c>
      <c r="F271" s="2">
        <v>400</v>
      </c>
      <c r="G271" s="2" t="s">
        <v>216</v>
      </c>
      <c r="H271" s="2">
        <v>67</v>
      </c>
      <c r="I271" s="2">
        <v>602.9</v>
      </c>
      <c r="J271" s="12">
        <f t="shared" ref="J271:J278" si="79">IFERROR(IF(AND(V271=3,U271&gt;0),I271,I271*U271),"Verify")</f>
        <v>14469.599999999999</v>
      </c>
      <c r="K271" s="5">
        <f t="shared" ref="K271:K278" si="80">+J271/(F271*H271*10^-5)</f>
        <v>53991.044776119394</v>
      </c>
      <c r="L271" s="2">
        <v>24</v>
      </c>
      <c r="M271" s="37">
        <f t="shared" ref="M271:M278" si="81">+L271-X271-Z271-AD271-AB271-AF271-AH271-AJ271-AL271-AO271-AQ271-AS271-AU271-AW271-AY271-BA271-BC271-BE271-BG271-BI271-BK271-BM271-BO271-BQ271-BS271-BU271-BW271-BY271-CA271-CC271-CE271-CG271</f>
        <v>24</v>
      </c>
      <c r="N271" s="2"/>
      <c r="O271" s="32"/>
      <c r="P271" s="32"/>
      <c r="Q271" s="2"/>
      <c r="R271" s="2"/>
      <c r="S271" s="2"/>
      <c r="T271" s="2"/>
      <c r="U271" s="37">
        <f t="shared" si="67"/>
        <v>24</v>
      </c>
      <c r="V271" s="34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</row>
    <row r="272" spans="1:86" ht="28.8">
      <c r="A272" s="35" t="s">
        <v>243</v>
      </c>
      <c r="B272" s="1"/>
      <c r="C272" s="1"/>
      <c r="D272" s="1" t="s">
        <v>244</v>
      </c>
      <c r="E272" s="2" t="s">
        <v>245</v>
      </c>
      <c r="F272" s="2">
        <v>73</v>
      </c>
      <c r="G272" s="2" t="s">
        <v>246</v>
      </c>
      <c r="H272" s="2">
        <v>132.5</v>
      </c>
      <c r="I272" s="2">
        <v>510</v>
      </c>
      <c r="J272" s="12">
        <f t="shared" si="79"/>
        <v>510</v>
      </c>
      <c r="K272" s="5">
        <f t="shared" si="80"/>
        <v>5272.6802791418968</v>
      </c>
      <c r="L272" s="2">
        <v>1</v>
      </c>
      <c r="M272" s="37">
        <f t="shared" si="81"/>
        <v>1</v>
      </c>
      <c r="N272" s="2"/>
      <c r="O272" s="32"/>
      <c r="P272" s="32"/>
      <c r="Q272" s="2"/>
      <c r="R272" s="2"/>
      <c r="S272" s="2"/>
      <c r="T272" s="2"/>
      <c r="U272" s="37">
        <f t="shared" si="67"/>
        <v>1</v>
      </c>
      <c r="V272" s="34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</row>
    <row r="273" spans="1:86" ht="28.8">
      <c r="A273" s="35" t="s">
        <v>243</v>
      </c>
      <c r="B273" s="1"/>
      <c r="C273" s="1"/>
      <c r="D273" s="1" t="s">
        <v>244</v>
      </c>
      <c r="E273" s="2" t="s">
        <v>245</v>
      </c>
      <c r="F273" s="2">
        <v>71</v>
      </c>
      <c r="G273" s="2" t="s">
        <v>246</v>
      </c>
      <c r="H273" s="2">
        <v>206</v>
      </c>
      <c r="I273" s="2">
        <v>1558</v>
      </c>
      <c r="J273" s="12">
        <f t="shared" si="79"/>
        <v>1558</v>
      </c>
      <c r="K273" s="5">
        <f t="shared" si="80"/>
        <v>10652.263093121837</v>
      </c>
      <c r="L273" s="2">
        <v>1</v>
      </c>
      <c r="M273" s="37">
        <f t="shared" si="81"/>
        <v>1</v>
      </c>
      <c r="N273" s="2"/>
      <c r="O273" s="32"/>
      <c r="P273" s="32"/>
      <c r="Q273" s="2"/>
      <c r="R273" s="2"/>
      <c r="S273" s="2"/>
      <c r="T273" s="2"/>
      <c r="U273" s="37">
        <f t="shared" si="67"/>
        <v>1</v>
      </c>
      <c r="V273" s="34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</row>
    <row r="274" spans="1:86" ht="28.8">
      <c r="A274" s="35" t="s">
        <v>243</v>
      </c>
      <c r="B274" s="1"/>
      <c r="C274" s="1"/>
      <c r="D274" s="1" t="s">
        <v>244</v>
      </c>
      <c r="E274" s="2" t="s">
        <v>245</v>
      </c>
      <c r="F274" s="2">
        <v>61</v>
      </c>
      <c r="G274" s="2" t="s">
        <v>246</v>
      </c>
      <c r="H274" s="2">
        <v>115</v>
      </c>
      <c r="I274" s="2">
        <v>1244</v>
      </c>
      <c r="J274" s="12">
        <f t="shared" si="79"/>
        <v>1244</v>
      </c>
      <c r="K274" s="5">
        <f t="shared" si="80"/>
        <v>17733.428367783319</v>
      </c>
      <c r="L274" s="2">
        <v>1</v>
      </c>
      <c r="M274" s="37">
        <f t="shared" si="81"/>
        <v>1</v>
      </c>
      <c r="N274" s="2"/>
      <c r="O274" s="32"/>
      <c r="P274" s="32"/>
      <c r="Q274" s="2"/>
      <c r="R274" s="2"/>
      <c r="S274" s="2"/>
      <c r="T274" s="2"/>
      <c r="U274" s="37">
        <f t="shared" si="67"/>
        <v>1</v>
      </c>
      <c r="V274" s="34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</row>
    <row r="275" spans="1:86" ht="28.8">
      <c r="A275" s="35" t="s">
        <v>243</v>
      </c>
      <c r="B275" s="1"/>
      <c r="C275" s="1"/>
      <c r="D275" s="1" t="s">
        <v>244</v>
      </c>
      <c r="E275" s="2" t="s">
        <v>245</v>
      </c>
      <c r="F275" s="2">
        <v>59</v>
      </c>
      <c r="G275" s="2" t="s">
        <v>246</v>
      </c>
      <c r="H275" s="2">
        <v>91</v>
      </c>
      <c r="I275" s="2">
        <v>990</v>
      </c>
      <c r="J275" s="12">
        <f t="shared" si="79"/>
        <v>990</v>
      </c>
      <c r="K275" s="5">
        <f t="shared" si="80"/>
        <v>18439.187930713353</v>
      </c>
      <c r="L275" s="2">
        <v>1</v>
      </c>
      <c r="M275" s="37">
        <f t="shared" si="81"/>
        <v>1</v>
      </c>
      <c r="N275" s="2"/>
      <c r="O275" s="32"/>
      <c r="P275" s="32"/>
      <c r="Q275" s="2"/>
      <c r="R275" s="2"/>
      <c r="S275" s="2"/>
      <c r="T275" s="2"/>
      <c r="U275" s="37">
        <f t="shared" si="67"/>
        <v>1</v>
      </c>
      <c r="V275" s="34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</row>
    <row r="276" spans="1:86" ht="28.8">
      <c r="A276" s="35" t="s">
        <v>243</v>
      </c>
      <c r="B276" s="1"/>
      <c r="C276" s="1"/>
      <c r="D276" s="1" t="s">
        <v>244</v>
      </c>
      <c r="E276" s="2" t="s">
        <v>245</v>
      </c>
      <c r="F276" s="2">
        <v>61</v>
      </c>
      <c r="G276" s="2" t="s">
        <v>246</v>
      </c>
      <c r="H276" s="2">
        <v>111</v>
      </c>
      <c r="I276" s="2">
        <v>960</v>
      </c>
      <c r="J276" s="12">
        <f t="shared" si="79"/>
        <v>960</v>
      </c>
      <c r="K276" s="5">
        <f t="shared" si="80"/>
        <v>14178.112538768275</v>
      </c>
      <c r="L276" s="2">
        <v>1</v>
      </c>
      <c r="M276" s="37">
        <f t="shared" si="81"/>
        <v>1</v>
      </c>
      <c r="N276" s="2"/>
      <c r="O276" s="32"/>
      <c r="P276" s="32"/>
      <c r="Q276" s="2"/>
      <c r="R276" s="2"/>
      <c r="S276" s="2"/>
      <c r="T276" s="2"/>
      <c r="U276" s="37">
        <f t="shared" si="67"/>
        <v>1</v>
      </c>
      <c r="V276" s="34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</row>
    <row r="277" spans="1:86" ht="28.8">
      <c r="A277" s="35" t="s">
        <v>243</v>
      </c>
      <c r="B277" s="1"/>
      <c r="C277" s="1"/>
      <c r="D277" s="1" t="s">
        <v>244</v>
      </c>
      <c r="E277" s="2" t="s">
        <v>245</v>
      </c>
      <c r="F277" s="2">
        <v>70</v>
      </c>
      <c r="G277" s="2" t="s">
        <v>246</v>
      </c>
      <c r="H277" s="2">
        <v>105</v>
      </c>
      <c r="I277" s="2">
        <v>1414</v>
      </c>
      <c r="J277" s="12">
        <f t="shared" si="79"/>
        <v>1414</v>
      </c>
      <c r="K277" s="5">
        <f t="shared" si="80"/>
        <v>19238.095238095237</v>
      </c>
      <c r="L277" s="2">
        <v>1</v>
      </c>
      <c r="M277" s="37">
        <f t="shared" si="81"/>
        <v>1</v>
      </c>
      <c r="N277" s="2"/>
      <c r="O277" s="32"/>
      <c r="P277" s="32"/>
      <c r="Q277" s="2"/>
      <c r="R277" s="2"/>
      <c r="S277" s="2"/>
      <c r="T277" s="2"/>
      <c r="U277" s="37">
        <f t="shared" si="67"/>
        <v>1</v>
      </c>
      <c r="V277" s="34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</row>
    <row r="278" spans="1:86" ht="28.8">
      <c r="A278" s="35" t="s">
        <v>243</v>
      </c>
      <c r="B278" s="1"/>
      <c r="C278" s="1"/>
      <c r="D278" s="1" t="s">
        <v>244</v>
      </c>
      <c r="E278" s="2" t="s">
        <v>245</v>
      </c>
      <c r="F278" s="2">
        <v>70</v>
      </c>
      <c r="G278" s="2" t="s">
        <v>246</v>
      </c>
      <c r="H278" s="2">
        <v>105</v>
      </c>
      <c r="I278" s="2">
        <v>1401</v>
      </c>
      <c r="J278" s="12">
        <f t="shared" si="79"/>
        <v>1401</v>
      </c>
      <c r="K278" s="5">
        <f t="shared" si="80"/>
        <v>19061.224489795917</v>
      </c>
      <c r="L278" s="2">
        <v>1</v>
      </c>
      <c r="M278" s="37">
        <f t="shared" si="81"/>
        <v>1</v>
      </c>
      <c r="N278" s="2"/>
      <c r="O278" s="32"/>
      <c r="P278" s="32"/>
      <c r="Q278" s="2"/>
      <c r="R278" s="2"/>
      <c r="S278" s="2"/>
      <c r="T278" s="2"/>
      <c r="U278" s="37">
        <f t="shared" si="67"/>
        <v>1</v>
      </c>
      <c r="V278" s="34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</row>
    <row r="279" spans="1:86" ht="28.8">
      <c r="A279" s="35" t="s">
        <v>243</v>
      </c>
      <c r="B279" s="1"/>
      <c r="C279" s="1"/>
      <c r="D279" s="1" t="s">
        <v>244</v>
      </c>
      <c r="E279" s="2" t="s">
        <v>245</v>
      </c>
      <c r="F279" s="2">
        <v>58</v>
      </c>
      <c r="G279" s="2" t="s">
        <v>246</v>
      </c>
      <c r="H279" s="2">
        <v>95</v>
      </c>
      <c r="I279" s="2">
        <v>942</v>
      </c>
      <c r="J279" s="12">
        <f t="shared" ref="J279:J295" si="82">IFERROR(IF(AND(V279=3,U279&gt;0),I279,I279*U279),"Verify")</f>
        <v>942</v>
      </c>
      <c r="K279" s="5">
        <f t="shared" ref="K279:K295" si="83">+J279/(F279*H279*10^-5)</f>
        <v>17096.188747731398</v>
      </c>
      <c r="L279" s="2">
        <v>1</v>
      </c>
      <c r="M279" s="37">
        <f t="shared" ref="M279:M295" si="84">+L279-X279-Z279-AD279-AB279-AF279-AH279-AJ279-AL279-AO279-AQ279-AS279-AU279-AW279-AY279-BA279-BC279-BE279-BG279-BI279-BK279-BM279-BO279-BQ279-BS279-BU279-BW279-BY279-CA279-CC279-CE279-CG279</f>
        <v>1</v>
      </c>
      <c r="N279" s="2"/>
      <c r="O279" s="32"/>
      <c r="P279" s="32"/>
      <c r="Q279" s="2"/>
      <c r="R279" s="2"/>
      <c r="S279" s="2"/>
      <c r="T279" s="2"/>
      <c r="U279" s="37">
        <f t="shared" si="67"/>
        <v>1</v>
      </c>
      <c r="V279" s="34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</row>
    <row r="280" spans="1:86" ht="28.8">
      <c r="A280" s="35" t="s">
        <v>243</v>
      </c>
      <c r="B280" s="1"/>
      <c r="C280" s="1"/>
      <c r="D280" s="1" t="s">
        <v>244</v>
      </c>
      <c r="E280" s="2" t="s">
        <v>245</v>
      </c>
      <c r="F280" s="2">
        <v>58</v>
      </c>
      <c r="G280" s="2" t="s">
        <v>246</v>
      </c>
      <c r="H280" s="2">
        <v>110</v>
      </c>
      <c r="I280" s="2">
        <v>1096</v>
      </c>
      <c r="J280" s="12">
        <f t="shared" si="82"/>
        <v>1096</v>
      </c>
      <c r="K280" s="5">
        <f t="shared" si="83"/>
        <v>17178.683385579934</v>
      </c>
      <c r="L280" s="2">
        <v>1</v>
      </c>
      <c r="M280" s="37">
        <f t="shared" si="84"/>
        <v>1</v>
      </c>
      <c r="N280" s="2"/>
      <c r="O280" s="32"/>
      <c r="P280" s="32"/>
      <c r="Q280" s="2"/>
      <c r="R280" s="2"/>
      <c r="S280" s="2"/>
      <c r="T280" s="2"/>
      <c r="U280" s="37">
        <f t="shared" si="67"/>
        <v>1</v>
      </c>
      <c r="V280" s="34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</row>
    <row r="281" spans="1:86" ht="28.8">
      <c r="A281" s="35" t="s">
        <v>243</v>
      </c>
      <c r="B281" s="1"/>
      <c r="C281" s="1"/>
      <c r="D281" s="1" t="s">
        <v>244</v>
      </c>
      <c r="E281" s="2" t="s">
        <v>245</v>
      </c>
      <c r="F281" s="2">
        <v>55</v>
      </c>
      <c r="G281" s="2" t="s">
        <v>246</v>
      </c>
      <c r="H281" s="2">
        <v>133</v>
      </c>
      <c r="I281" s="2">
        <v>1360</v>
      </c>
      <c r="J281" s="12">
        <f t="shared" si="82"/>
        <v>1360</v>
      </c>
      <c r="K281" s="5">
        <f t="shared" si="83"/>
        <v>18591.934381408064</v>
      </c>
      <c r="L281" s="2">
        <v>1</v>
      </c>
      <c r="M281" s="37">
        <f t="shared" si="84"/>
        <v>1</v>
      </c>
      <c r="N281" s="2"/>
      <c r="O281" s="32"/>
      <c r="P281" s="32"/>
      <c r="Q281" s="2"/>
      <c r="R281" s="2"/>
      <c r="S281" s="2"/>
      <c r="T281" s="2"/>
      <c r="U281" s="37">
        <f t="shared" si="67"/>
        <v>1</v>
      </c>
      <c r="V281" s="34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</row>
    <row r="282" spans="1:86" ht="28.8">
      <c r="A282" s="35" t="s">
        <v>243</v>
      </c>
      <c r="B282" s="1"/>
      <c r="C282" s="1"/>
      <c r="D282" s="1" t="s">
        <v>244</v>
      </c>
      <c r="E282" s="2" t="s">
        <v>245</v>
      </c>
      <c r="F282" s="2">
        <v>55</v>
      </c>
      <c r="G282" s="2" t="s">
        <v>246</v>
      </c>
      <c r="H282" s="2">
        <v>106</v>
      </c>
      <c r="I282" s="2">
        <v>1099</v>
      </c>
      <c r="J282" s="12">
        <f t="shared" si="82"/>
        <v>1099</v>
      </c>
      <c r="K282" s="5">
        <f t="shared" si="83"/>
        <v>18850.771869639793</v>
      </c>
      <c r="L282" s="2">
        <v>1</v>
      </c>
      <c r="M282" s="37">
        <f t="shared" si="84"/>
        <v>1</v>
      </c>
      <c r="N282" s="2"/>
      <c r="O282" s="32"/>
      <c r="P282" s="32"/>
      <c r="Q282" s="2"/>
      <c r="R282" s="2"/>
      <c r="S282" s="2"/>
      <c r="T282" s="2"/>
      <c r="U282" s="37">
        <f t="shared" si="67"/>
        <v>1</v>
      </c>
      <c r="V282" s="34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</row>
    <row r="283" spans="1:86" ht="28.8">
      <c r="A283" s="35" t="s">
        <v>243</v>
      </c>
      <c r="B283" s="1"/>
      <c r="C283" s="1"/>
      <c r="D283" s="1" t="s">
        <v>244</v>
      </c>
      <c r="E283" s="2" t="s">
        <v>245</v>
      </c>
      <c r="F283" s="2">
        <v>62</v>
      </c>
      <c r="G283" s="2" t="s">
        <v>246</v>
      </c>
      <c r="H283" s="2">
        <v>122</v>
      </c>
      <c r="I283" s="2">
        <v>1019</v>
      </c>
      <c r="J283" s="12">
        <f t="shared" si="82"/>
        <v>1019</v>
      </c>
      <c r="K283" s="5">
        <f t="shared" si="83"/>
        <v>13471.708090957163</v>
      </c>
      <c r="L283" s="2">
        <v>1</v>
      </c>
      <c r="M283" s="37">
        <f t="shared" si="84"/>
        <v>1</v>
      </c>
      <c r="N283" s="2"/>
      <c r="O283" s="32"/>
      <c r="P283" s="32"/>
      <c r="Q283" s="2"/>
      <c r="R283" s="2"/>
      <c r="S283" s="2"/>
      <c r="T283" s="2"/>
      <c r="U283" s="37">
        <f t="shared" si="67"/>
        <v>1</v>
      </c>
      <c r="V283" s="34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</row>
    <row r="284" spans="1:86" ht="28.8">
      <c r="A284" s="35" t="s">
        <v>243</v>
      </c>
      <c r="B284" s="1"/>
      <c r="C284" s="1"/>
      <c r="D284" s="1" t="s">
        <v>244</v>
      </c>
      <c r="E284" s="2" t="s">
        <v>245</v>
      </c>
      <c r="F284" s="2">
        <v>59</v>
      </c>
      <c r="G284" s="2" t="s">
        <v>246</v>
      </c>
      <c r="H284" s="2">
        <v>120</v>
      </c>
      <c r="I284" s="2">
        <v>1019</v>
      </c>
      <c r="J284" s="12">
        <f t="shared" si="82"/>
        <v>1019</v>
      </c>
      <c r="K284" s="5">
        <f t="shared" si="83"/>
        <v>14392.655367231639</v>
      </c>
      <c r="L284" s="2">
        <v>1</v>
      </c>
      <c r="M284" s="37">
        <f t="shared" si="84"/>
        <v>1</v>
      </c>
      <c r="N284" s="2"/>
      <c r="O284" s="32"/>
      <c r="P284" s="32"/>
      <c r="Q284" s="2"/>
      <c r="R284" s="2"/>
      <c r="S284" s="2"/>
      <c r="T284" s="2"/>
      <c r="U284" s="37">
        <f t="shared" ref="U284:U330" si="85">+L284-X284-Z284-AD284-AB284-AF284-AH284-AJ284-AL284-AO284-AQ284-AS284-AU284-AW284-AY284-BA284-BC284-BE284-BG284-BI284-BK284-BM284-BO284-BQ284-BS284-BU284-BW284-BY284-CA284-CC284-CE284-CG284</f>
        <v>1</v>
      </c>
      <c r="V284" s="34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</row>
    <row r="285" spans="1:86" ht="28.8">
      <c r="A285" s="35" t="s">
        <v>243</v>
      </c>
      <c r="B285" s="1"/>
      <c r="C285" s="1"/>
      <c r="D285" s="1" t="s">
        <v>244</v>
      </c>
      <c r="E285" s="2" t="s">
        <v>245</v>
      </c>
      <c r="F285" s="2">
        <v>60</v>
      </c>
      <c r="G285" s="2" t="s">
        <v>246</v>
      </c>
      <c r="H285" s="2">
        <v>103.5</v>
      </c>
      <c r="I285" s="2">
        <v>1026</v>
      </c>
      <c r="J285" s="12">
        <f t="shared" si="82"/>
        <v>1026</v>
      </c>
      <c r="K285" s="5">
        <f t="shared" si="83"/>
        <v>16521.73913043478</v>
      </c>
      <c r="L285" s="2">
        <v>1</v>
      </c>
      <c r="M285" s="37">
        <f t="shared" si="84"/>
        <v>1</v>
      </c>
      <c r="N285" s="2"/>
      <c r="O285" s="32"/>
      <c r="P285" s="32"/>
      <c r="Q285" s="2"/>
      <c r="R285" s="2"/>
      <c r="S285" s="2"/>
      <c r="T285" s="2"/>
      <c r="U285" s="37">
        <f t="shared" si="85"/>
        <v>1</v>
      </c>
      <c r="V285" s="34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</row>
    <row r="286" spans="1:86" ht="28.8">
      <c r="A286" s="35" t="s">
        <v>243</v>
      </c>
      <c r="B286" s="1"/>
      <c r="C286" s="1"/>
      <c r="D286" s="1" t="s">
        <v>244</v>
      </c>
      <c r="E286" s="2" t="s">
        <v>245</v>
      </c>
      <c r="F286" s="2">
        <v>70</v>
      </c>
      <c r="G286" s="2" t="s">
        <v>246</v>
      </c>
      <c r="H286" s="2">
        <v>103</v>
      </c>
      <c r="I286" s="2">
        <v>1017</v>
      </c>
      <c r="J286" s="12">
        <f t="shared" si="82"/>
        <v>1017</v>
      </c>
      <c r="K286" s="5">
        <f t="shared" si="83"/>
        <v>14105.409153952842</v>
      </c>
      <c r="L286" s="2">
        <v>1</v>
      </c>
      <c r="M286" s="37">
        <f t="shared" si="84"/>
        <v>1</v>
      </c>
      <c r="N286" s="2" t="s">
        <v>248</v>
      </c>
      <c r="O286" s="32">
        <f>J286</f>
        <v>1017</v>
      </c>
      <c r="P286" s="32"/>
      <c r="Q286" s="2"/>
      <c r="R286" s="2"/>
      <c r="S286" s="2"/>
      <c r="T286" s="2"/>
      <c r="U286" s="37">
        <f t="shared" si="85"/>
        <v>1</v>
      </c>
      <c r="V286" s="34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</row>
    <row r="287" spans="1:86" ht="28.8">
      <c r="A287" s="35" t="s">
        <v>243</v>
      </c>
      <c r="B287" s="1"/>
      <c r="C287" s="1"/>
      <c r="D287" s="1" t="s">
        <v>244</v>
      </c>
      <c r="E287" s="2" t="s">
        <v>245</v>
      </c>
      <c r="F287" s="2">
        <v>70</v>
      </c>
      <c r="G287" s="2" t="s">
        <v>246</v>
      </c>
      <c r="H287" s="2">
        <v>104.5</v>
      </c>
      <c r="I287" s="2">
        <v>661</v>
      </c>
      <c r="J287" s="12">
        <f t="shared" si="82"/>
        <v>661</v>
      </c>
      <c r="K287" s="5">
        <f t="shared" si="83"/>
        <v>9036.2269309637722</v>
      </c>
      <c r="L287" s="2">
        <v>1</v>
      </c>
      <c r="M287" s="37">
        <f t="shared" si="84"/>
        <v>1</v>
      </c>
      <c r="N287" s="2"/>
      <c r="O287" s="32"/>
      <c r="P287" s="32"/>
      <c r="Q287" s="2"/>
      <c r="R287" s="2"/>
      <c r="S287" s="2"/>
      <c r="T287" s="2"/>
      <c r="U287" s="37">
        <f t="shared" si="85"/>
        <v>1</v>
      </c>
      <c r="V287" s="34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</row>
    <row r="288" spans="1:86" ht="28.8">
      <c r="A288" s="35" t="s">
        <v>243</v>
      </c>
      <c r="B288" s="1"/>
      <c r="C288" s="1"/>
      <c r="D288" s="1" t="s">
        <v>244</v>
      </c>
      <c r="E288" s="2" t="s">
        <v>245</v>
      </c>
      <c r="F288" s="2">
        <v>69</v>
      </c>
      <c r="G288" s="2" t="s">
        <v>246</v>
      </c>
      <c r="H288" s="2">
        <v>130</v>
      </c>
      <c r="I288" s="2">
        <v>848</v>
      </c>
      <c r="J288" s="12">
        <f t="shared" si="82"/>
        <v>848</v>
      </c>
      <c r="K288" s="5">
        <f t="shared" si="83"/>
        <v>9453.7346711259761</v>
      </c>
      <c r="L288" s="2">
        <v>1</v>
      </c>
      <c r="M288" s="37">
        <f t="shared" si="84"/>
        <v>1</v>
      </c>
      <c r="N288" s="2"/>
      <c r="O288" s="32"/>
      <c r="P288" s="32"/>
      <c r="Q288" s="2"/>
      <c r="R288" s="2"/>
      <c r="S288" s="2"/>
      <c r="T288" s="2"/>
      <c r="U288" s="37">
        <f t="shared" si="85"/>
        <v>1</v>
      </c>
      <c r="V288" s="34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</row>
    <row r="289" spans="1:86" ht="28.8">
      <c r="A289" s="35" t="s">
        <v>243</v>
      </c>
      <c r="B289" s="1"/>
      <c r="C289" s="1"/>
      <c r="D289" s="1" t="s">
        <v>244</v>
      </c>
      <c r="E289" s="2" t="s">
        <v>245</v>
      </c>
      <c r="F289" s="2">
        <v>70</v>
      </c>
      <c r="G289" s="2" t="s">
        <v>246</v>
      </c>
      <c r="H289" s="2">
        <v>112</v>
      </c>
      <c r="I289" s="2">
        <v>737</v>
      </c>
      <c r="J289" s="12">
        <f t="shared" si="82"/>
        <v>737</v>
      </c>
      <c r="K289" s="5">
        <f t="shared" si="83"/>
        <v>9400.5102040816309</v>
      </c>
      <c r="L289" s="2">
        <v>1</v>
      </c>
      <c r="M289" s="37">
        <f t="shared" si="84"/>
        <v>1</v>
      </c>
      <c r="N289" s="2"/>
      <c r="O289" s="32"/>
      <c r="P289" s="32"/>
      <c r="Q289" s="2"/>
      <c r="R289" s="2"/>
      <c r="S289" s="2"/>
      <c r="T289" s="2"/>
      <c r="U289" s="37">
        <f t="shared" si="85"/>
        <v>1</v>
      </c>
      <c r="V289" s="34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</row>
    <row r="290" spans="1:86" ht="28.8">
      <c r="A290" s="35" t="s">
        <v>243</v>
      </c>
      <c r="B290" s="1"/>
      <c r="C290" s="1"/>
      <c r="D290" s="1" t="s">
        <v>244</v>
      </c>
      <c r="E290" s="2" t="s">
        <v>245</v>
      </c>
      <c r="F290" s="2">
        <v>72</v>
      </c>
      <c r="G290" s="2" t="s">
        <v>246</v>
      </c>
      <c r="H290" s="2">
        <v>121.5</v>
      </c>
      <c r="I290" s="2">
        <v>1398</v>
      </c>
      <c r="J290" s="12">
        <f t="shared" si="82"/>
        <v>1398</v>
      </c>
      <c r="K290" s="5">
        <f t="shared" si="83"/>
        <v>15980.795610425239</v>
      </c>
      <c r="L290" s="2">
        <v>1</v>
      </c>
      <c r="M290" s="37">
        <f t="shared" si="84"/>
        <v>1</v>
      </c>
      <c r="N290" s="2"/>
      <c r="O290" s="32"/>
      <c r="P290" s="32"/>
      <c r="Q290" s="2"/>
      <c r="R290" s="2"/>
      <c r="S290" s="2"/>
      <c r="T290" s="2"/>
      <c r="U290" s="37">
        <f t="shared" si="85"/>
        <v>1</v>
      </c>
      <c r="V290" s="34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</row>
    <row r="291" spans="1:86" ht="28.8">
      <c r="A291" s="35" t="s">
        <v>243</v>
      </c>
      <c r="B291" s="1"/>
      <c r="C291" s="1"/>
      <c r="D291" s="1" t="s">
        <v>244</v>
      </c>
      <c r="E291" s="2" t="s">
        <v>245</v>
      </c>
      <c r="F291" s="2">
        <v>71</v>
      </c>
      <c r="G291" s="2" t="s">
        <v>246</v>
      </c>
      <c r="H291" s="2">
        <v>115</v>
      </c>
      <c r="I291" s="2">
        <v>1435</v>
      </c>
      <c r="J291" s="12">
        <f t="shared" si="82"/>
        <v>1435</v>
      </c>
      <c r="K291" s="5">
        <f t="shared" si="83"/>
        <v>17575.015309246784</v>
      </c>
      <c r="L291" s="2">
        <v>1</v>
      </c>
      <c r="M291" s="37">
        <f t="shared" si="84"/>
        <v>1</v>
      </c>
      <c r="N291" s="2"/>
      <c r="O291" s="32"/>
      <c r="P291" s="32"/>
      <c r="Q291" s="2"/>
      <c r="R291" s="2"/>
      <c r="S291" s="2"/>
      <c r="T291" s="2"/>
      <c r="U291" s="37">
        <f t="shared" si="85"/>
        <v>1</v>
      </c>
      <c r="V291" s="34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</row>
    <row r="292" spans="1:86" ht="28.8">
      <c r="A292" s="35" t="s">
        <v>243</v>
      </c>
      <c r="B292" s="1"/>
      <c r="C292" s="1"/>
      <c r="D292" s="1" t="s">
        <v>244</v>
      </c>
      <c r="E292" s="2" t="s">
        <v>245</v>
      </c>
      <c r="F292" s="2">
        <v>49</v>
      </c>
      <c r="G292" s="2" t="s">
        <v>246</v>
      </c>
      <c r="H292" s="2">
        <v>114</v>
      </c>
      <c r="I292" s="2">
        <v>1152</v>
      </c>
      <c r="J292" s="12">
        <f t="shared" si="82"/>
        <v>1152</v>
      </c>
      <c r="K292" s="5">
        <f t="shared" si="83"/>
        <v>20622.986036519869</v>
      </c>
      <c r="L292" s="2">
        <v>1</v>
      </c>
      <c r="M292" s="37">
        <f t="shared" si="84"/>
        <v>1</v>
      </c>
      <c r="N292" s="2"/>
      <c r="O292" s="32"/>
      <c r="P292" s="32"/>
      <c r="Q292" s="2"/>
      <c r="R292" s="2"/>
      <c r="S292" s="2"/>
      <c r="T292" s="2"/>
      <c r="U292" s="37">
        <f t="shared" si="85"/>
        <v>1</v>
      </c>
      <c r="V292" s="34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</row>
    <row r="293" spans="1:86" ht="28.8">
      <c r="A293" s="35" t="s">
        <v>243</v>
      </c>
      <c r="B293" s="1"/>
      <c r="C293" s="1"/>
      <c r="D293" s="1" t="s">
        <v>244</v>
      </c>
      <c r="E293" s="2" t="s">
        <v>245</v>
      </c>
      <c r="F293" s="2">
        <v>47</v>
      </c>
      <c r="G293" s="2" t="s">
        <v>246</v>
      </c>
      <c r="H293" s="2">
        <v>112</v>
      </c>
      <c r="I293" s="2">
        <v>1098</v>
      </c>
      <c r="J293" s="12">
        <f t="shared" si="82"/>
        <v>1098</v>
      </c>
      <c r="K293" s="5">
        <f t="shared" si="83"/>
        <v>20858.66261398176</v>
      </c>
      <c r="L293" s="2">
        <v>1</v>
      </c>
      <c r="M293" s="37">
        <f t="shared" si="84"/>
        <v>1</v>
      </c>
      <c r="N293" s="2"/>
      <c r="O293" s="32"/>
      <c r="P293" s="32"/>
      <c r="Q293" s="2"/>
      <c r="R293" s="2"/>
      <c r="S293" s="2"/>
      <c r="T293" s="2"/>
      <c r="U293" s="37">
        <f t="shared" si="85"/>
        <v>1</v>
      </c>
      <c r="V293" s="34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</row>
    <row r="294" spans="1:86" ht="28.8">
      <c r="A294" s="35" t="s">
        <v>243</v>
      </c>
      <c r="B294" s="1"/>
      <c r="C294" s="1"/>
      <c r="D294" s="1" t="s">
        <v>244</v>
      </c>
      <c r="E294" s="2" t="s">
        <v>245</v>
      </c>
      <c r="F294" s="2">
        <v>70</v>
      </c>
      <c r="G294" s="2" t="s">
        <v>246</v>
      </c>
      <c r="H294" s="2">
        <v>105</v>
      </c>
      <c r="I294" s="2">
        <v>903</v>
      </c>
      <c r="J294" s="12">
        <f t="shared" si="82"/>
        <v>903</v>
      </c>
      <c r="K294" s="5">
        <f t="shared" si="83"/>
        <v>12285.714285714284</v>
      </c>
      <c r="L294" s="2">
        <v>1</v>
      </c>
      <c r="M294" s="37">
        <f t="shared" si="84"/>
        <v>1</v>
      </c>
      <c r="N294" s="2"/>
      <c r="O294" s="32"/>
      <c r="P294" s="32"/>
      <c r="Q294" s="2"/>
      <c r="R294" s="2"/>
      <c r="S294" s="2"/>
      <c r="T294" s="2"/>
      <c r="U294" s="37">
        <f t="shared" si="85"/>
        <v>1</v>
      </c>
      <c r="V294" s="34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</row>
    <row r="295" spans="1:86" ht="28.8">
      <c r="A295" s="35" t="s">
        <v>243</v>
      </c>
      <c r="B295" s="1"/>
      <c r="C295" s="1"/>
      <c r="D295" s="1" t="s">
        <v>244</v>
      </c>
      <c r="E295" s="2" t="s">
        <v>245</v>
      </c>
      <c r="F295" s="2">
        <v>69</v>
      </c>
      <c r="G295" s="2" t="s">
        <v>246</v>
      </c>
      <c r="H295" s="2">
        <v>104</v>
      </c>
      <c r="I295" s="2">
        <v>911</v>
      </c>
      <c r="J295" s="12">
        <f t="shared" si="82"/>
        <v>911</v>
      </c>
      <c r="K295" s="5">
        <f t="shared" si="83"/>
        <v>12695.094760312151</v>
      </c>
      <c r="L295" s="2">
        <v>1</v>
      </c>
      <c r="M295" s="37">
        <f t="shared" si="84"/>
        <v>1</v>
      </c>
      <c r="N295" s="2" t="s">
        <v>248</v>
      </c>
      <c r="O295" s="32">
        <f>J295</f>
        <v>911</v>
      </c>
      <c r="P295" s="32"/>
      <c r="Q295" s="2"/>
      <c r="R295" s="2"/>
      <c r="S295" s="2"/>
      <c r="T295" s="2"/>
      <c r="U295" s="37">
        <f t="shared" si="85"/>
        <v>1</v>
      </c>
      <c r="V295" s="34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</row>
    <row r="296" spans="1:86" ht="28.8">
      <c r="A296" s="35" t="s">
        <v>243</v>
      </c>
      <c r="B296" s="1"/>
      <c r="C296" s="1"/>
      <c r="D296" s="1" t="s">
        <v>244</v>
      </c>
      <c r="E296" s="2" t="s">
        <v>245</v>
      </c>
      <c r="F296" s="2">
        <v>65</v>
      </c>
      <c r="G296" s="2" t="s">
        <v>246</v>
      </c>
      <c r="H296" s="2">
        <v>104</v>
      </c>
      <c r="I296" s="2">
        <v>731</v>
      </c>
      <c r="J296" s="12">
        <f t="shared" ref="J296:J321" si="86">IFERROR(IF(AND(V296=3,U296&gt;0),I296,I296*U296),"Verify")</f>
        <v>731</v>
      </c>
      <c r="K296" s="5">
        <f t="shared" ref="K296:K321" si="87">+J296/(F296*H296*10^-5)</f>
        <v>10813.609467455621</v>
      </c>
      <c r="L296" s="2">
        <v>1</v>
      </c>
      <c r="M296" s="37">
        <f t="shared" ref="M296:M321" si="88">+L296-X296-Z296-AD296-AB296-AF296-AH296-AJ296-AL296-AO296-AQ296-AS296-AU296-AW296-AY296-BA296-BC296-BE296-BG296-BI296-BK296-BM296-BO296-BQ296-BS296-BU296-BW296-BY296-CA296-CC296-CE296-CG296</f>
        <v>1</v>
      </c>
      <c r="N296" s="2"/>
      <c r="O296" s="32"/>
      <c r="P296" s="32"/>
      <c r="Q296" s="2"/>
      <c r="R296" s="2"/>
      <c r="S296" s="2"/>
      <c r="T296" s="2"/>
      <c r="U296" s="37">
        <f t="shared" si="85"/>
        <v>1</v>
      </c>
      <c r="V296" s="34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</row>
    <row r="297" spans="1:86" ht="28.8">
      <c r="A297" s="35" t="s">
        <v>243</v>
      </c>
      <c r="B297" s="1"/>
      <c r="C297" s="1"/>
      <c r="D297" s="1" t="s">
        <v>244</v>
      </c>
      <c r="E297" s="2" t="s">
        <v>245</v>
      </c>
      <c r="F297" s="2">
        <v>66</v>
      </c>
      <c r="G297" s="2" t="s">
        <v>246</v>
      </c>
      <c r="H297" s="2">
        <v>114</v>
      </c>
      <c r="I297" s="2">
        <v>1056</v>
      </c>
      <c r="J297" s="12">
        <f t="shared" si="86"/>
        <v>1056</v>
      </c>
      <c r="K297" s="5">
        <f t="shared" si="87"/>
        <v>14035.087719298246</v>
      </c>
      <c r="L297" s="2">
        <v>1</v>
      </c>
      <c r="M297" s="37">
        <f t="shared" si="88"/>
        <v>1</v>
      </c>
      <c r="N297" s="2"/>
      <c r="O297" s="32"/>
      <c r="P297" s="32"/>
      <c r="Q297" s="2"/>
      <c r="R297" s="2"/>
      <c r="S297" s="2"/>
      <c r="T297" s="2"/>
      <c r="U297" s="37">
        <f t="shared" si="85"/>
        <v>1</v>
      </c>
      <c r="V297" s="34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</row>
    <row r="298" spans="1:86" ht="28.8">
      <c r="A298" s="35" t="s">
        <v>243</v>
      </c>
      <c r="B298" s="1"/>
      <c r="C298" s="1"/>
      <c r="D298" s="1" t="s">
        <v>244</v>
      </c>
      <c r="E298" s="2" t="s">
        <v>245</v>
      </c>
      <c r="F298" s="2">
        <v>68</v>
      </c>
      <c r="G298" s="2" t="s">
        <v>246</v>
      </c>
      <c r="H298" s="2">
        <v>105.5</v>
      </c>
      <c r="I298" s="2">
        <v>1266</v>
      </c>
      <c r="J298" s="12">
        <f t="shared" si="86"/>
        <v>1266</v>
      </c>
      <c r="K298" s="5">
        <f t="shared" si="87"/>
        <v>17647.058823529409</v>
      </c>
      <c r="L298" s="2">
        <v>1</v>
      </c>
      <c r="M298" s="37">
        <f t="shared" si="88"/>
        <v>1</v>
      </c>
      <c r="N298" s="2"/>
      <c r="O298" s="32"/>
      <c r="P298" s="32"/>
      <c r="Q298" s="2"/>
      <c r="R298" s="2"/>
      <c r="S298" s="2"/>
      <c r="T298" s="2"/>
      <c r="U298" s="37">
        <f t="shared" si="85"/>
        <v>1</v>
      </c>
      <c r="V298" s="34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</row>
    <row r="299" spans="1:86" ht="28.8">
      <c r="A299" s="35" t="s">
        <v>243</v>
      </c>
      <c r="B299" s="1"/>
      <c r="C299" s="1"/>
      <c r="D299" s="1" t="s">
        <v>244</v>
      </c>
      <c r="E299" s="2" t="s">
        <v>245</v>
      </c>
      <c r="F299" s="2">
        <v>65</v>
      </c>
      <c r="G299" s="2" t="s">
        <v>246</v>
      </c>
      <c r="H299" s="2">
        <v>101</v>
      </c>
      <c r="I299" s="2">
        <v>1213</v>
      </c>
      <c r="J299" s="12">
        <f t="shared" si="86"/>
        <v>1213</v>
      </c>
      <c r="K299" s="5">
        <f t="shared" si="87"/>
        <v>18476.770753998477</v>
      </c>
      <c r="L299" s="2">
        <v>1</v>
      </c>
      <c r="M299" s="37">
        <f t="shared" si="88"/>
        <v>1</v>
      </c>
      <c r="N299" s="2"/>
      <c r="O299" s="32"/>
      <c r="P299" s="32"/>
      <c r="Q299" s="2"/>
      <c r="R299" s="2"/>
      <c r="S299" s="2"/>
      <c r="T299" s="2"/>
      <c r="U299" s="37">
        <f t="shared" si="85"/>
        <v>1</v>
      </c>
      <c r="V299" s="34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</row>
    <row r="300" spans="1:86" ht="28.8">
      <c r="A300" s="35" t="s">
        <v>243</v>
      </c>
      <c r="B300" s="1"/>
      <c r="C300" s="1"/>
      <c r="D300" s="1" t="s">
        <v>244</v>
      </c>
      <c r="E300" s="2" t="s">
        <v>245</v>
      </c>
      <c r="F300" s="2">
        <v>66</v>
      </c>
      <c r="G300" s="2" t="s">
        <v>246</v>
      </c>
      <c r="H300" s="2">
        <v>101</v>
      </c>
      <c r="I300" s="2">
        <v>1310</v>
      </c>
      <c r="J300" s="12">
        <f t="shared" si="86"/>
        <v>1310</v>
      </c>
      <c r="K300" s="5">
        <f t="shared" si="87"/>
        <v>19651.96519651965</v>
      </c>
      <c r="L300" s="2">
        <v>1</v>
      </c>
      <c r="M300" s="37">
        <f t="shared" si="88"/>
        <v>1</v>
      </c>
      <c r="N300" s="2"/>
      <c r="O300" s="32"/>
      <c r="P300" s="32"/>
      <c r="Q300" s="2"/>
      <c r="R300" s="2"/>
      <c r="S300" s="2"/>
      <c r="T300" s="2"/>
      <c r="U300" s="37">
        <f t="shared" si="85"/>
        <v>1</v>
      </c>
      <c r="V300" s="34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</row>
    <row r="301" spans="1:86" ht="28.8">
      <c r="A301" s="35" t="s">
        <v>243</v>
      </c>
      <c r="B301" s="1"/>
      <c r="C301" s="1"/>
      <c r="D301" s="1" t="s">
        <v>244</v>
      </c>
      <c r="E301" s="2" t="s">
        <v>245</v>
      </c>
      <c r="F301" s="2">
        <v>67</v>
      </c>
      <c r="G301" s="2" t="s">
        <v>246</v>
      </c>
      <c r="H301" s="2">
        <v>113</v>
      </c>
      <c r="I301" s="2">
        <v>1010</v>
      </c>
      <c r="J301" s="12">
        <f t="shared" si="86"/>
        <v>1010</v>
      </c>
      <c r="K301" s="5">
        <f t="shared" si="87"/>
        <v>13340.377757231541</v>
      </c>
      <c r="L301" s="2">
        <v>1</v>
      </c>
      <c r="M301" s="37">
        <f t="shared" si="88"/>
        <v>1</v>
      </c>
      <c r="N301" s="2"/>
      <c r="O301" s="32"/>
      <c r="P301" s="32"/>
      <c r="Q301" s="2"/>
      <c r="R301" s="2"/>
      <c r="S301" s="2"/>
      <c r="T301" s="2"/>
      <c r="U301" s="37">
        <f t="shared" si="85"/>
        <v>1</v>
      </c>
      <c r="V301" s="34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</row>
    <row r="302" spans="1:86" ht="28.8">
      <c r="A302" s="35" t="s">
        <v>243</v>
      </c>
      <c r="B302" s="1"/>
      <c r="C302" s="1"/>
      <c r="D302" s="1" t="s">
        <v>244</v>
      </c>
      <c r="E302" s="2" t="s">
        <v>245</v>
      </c>
      <c r="F302" s="2">
        <v>69</v>
      </c>
      <c r="G302" s="2" t="s">
        <v>246</v>
      </c>
      <c r="H302" s="2">
        <v>101</v>
      </c>
      <c r="I302" s="2">
        <v>1172</v>
      </c>
      <c r="J302" s="12">
        <f t="shared" si="86"/>
        <v>1172</v>
      </c>
      <c r="K302" s="5">
        <f t="shared" si="87"/>
        <v>16817.333907303775</v>
      </c>
      <c r="L302" s="2">
        <v>1</v>
      </c>
      <c r="M302" s="37">
        <f t="shared" si="88"/>
        <v>1</v>
      </c>
      <c r="N302" s="2" t="s">
        <v>248</v>
      </c>
      <c r="O302" s="32">
        <f>J302</f>
        <v>1172</v>
      </c>
      <c r="P302" s="32"/>
      <c r="Q302" s="2"/>
      <c r="R302" s="2"/>
      <c r="S302" s="2"/>
      <c r="T302" s="2"/>
      <c r="U302" s="37">
        <f t="shared" si="85"/>
        <v>1</v>
      </c>
      <c r="V302" s="34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</row>
    <row r="303" spans="1:86" ht="28.8">
      <c r="A303" s="35" t="s">
        <v>243</v>
      </c>
      <c r="B303" s="1"/>
      <c r="C303" s="1"/>
      <c r="D303" s="1" t="s">
        <v>244</v>
      </c>
      <c r="E303" s="2" t="s">
        <v>245</v>
      </c>
      <c r="F303" s="2">
        <v>67</v>
      </c>
      <c r="G303" s="2" t="s">
        <v>246</v>
      </c>
      <c r="H303" s="2">
        <v>107</v>
      </c>
      <c r="I303" s="2">
        <v>1275</v>
      </c>
      <c r="J303" s="12">
        <f t="shared" si="86"/>
        <v>1275</v>
      </c>
      <c r="K303" s="5">
        <f t="shared" si="87"/>
        <v>17784.907239503416</v>
      </c>
      <c r="L303" s="2">
        <v>1</v>
      </c>
      <c r="M303" s="37">
        <f t="shared" si="88"/>
        <v>1</v>
      </c>
      <c r="N303" s="2"/>
      <c r="O303" s="32"/>
      <c r="P303" s="32"/>
      <c r="Q303" s="2"/>
      <c r="R303" s="2"/>
      <c r="S303" s="2"/>
      <c r="T303" s="2"/>
      <c r="U303" s="37">
        <f t="shared" si="85"/>
        <v>1</v>
      </c>
      <c r="V303" s="34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</row>
    <row r="304" spans="1:86" ht="28.8">
      <c r="A304" s="35" t="s">
        <v>243</v>
      </c>
      <c r="B304" s="1"/>
      <c r="C304" s="1"/>
      <c r="D304" s="1" t="s">
        <v>244</v>
      </c>
      <c r="E304" s="2" t="s">
        <v>245</v>
      </c>
      <c r="F304" s="2">
        <v>60</v>
      </c>
      <c r="G304" s="2" t="s">
        <v>246</v>
      </c>
      <c r="H304" s="2">
        <v>103</v>
      </c>
      <c r="I304" s="2">
        <v>1282</v>
      </c>
      <c r="J304" s="12">
        <f t="shared" si="86"/>
        <v>1282</v>
      </c>
      <c r="K304" s="5">
        <f t="shared" si="87"/>
        <v>20744.336569579285</v>
      </c>
      <c r="L304" s="2">
        <v>1</v>
      </c>
      <c r="M304" s="37">
        <f t="shared" si="88"/>
        <v>1</v>
      </c>
      <c r="N304" s="2"/>
      <c r="O304" s="32"/>
      <c r="P304" s="32"/>
      <c r="Q304" s="2"/>
      <c r="R304" s="2"/>
      <c r="S304" s="2"/>
      <c r="T304" s="2"/>
      <c r="U304" s="37">
        <f t="shared" si="85"/>
        <v>1</v>
      </c>
      <c r="V304" s="34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</row>
    <row r="305" spans="1:86" ht="28.8">
      <c r="A305" s="35" t="s">
        <v>243</v>
      </c>
      <c r="B305" s="1"/>
      <c r="C305" s="1"/>
      <c r="D305" s="1" t="s">
        <v>244</v>
      </c>
      <c r="E305" s="2" t="s">
        <v>245</v>
      </c>
      <c r="F305" s="2">
        <v>66</v>
      </c>
      <c r="G305" s="2" t="s">
        <v>246</v>
      </c>
      <c r="H305" s="2">
        <v>104</v>
      </c>
      <c r="I305" s="2">
        <v>1371</v>
      </c>
      <c r="J305" s="12">
        <f t="shared" si="86"/>
        <v>1371</v>
      </c>
      <c r="K305" s="5">
        <f t="shared" si="87"/>
        <v>19973.776223776222</v>
      </c>
      <c r="L305" s="2">
        <v>1</v>
      </c>
      <c r="M305" s="37">
        <f t="shared" si="88"/>
        <v>1</v>
      </c>
      <c r="N305" s="2"/>
      <c r="O305" s="32"/>
      <c r="P305" s="32"/>
      <c r="Q305" s="2"/>
      <c r="R305" s="2"/>
      <c r="S305" s="2"/>
      <c r="T305" s="2"/>
      <c r="U305" s="37">
        <f t="shared" si="85"/>
        <v>1</v>
      </c>
      <c r="V305" s="34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</row>
    <row r="306" spans="1:86" ht="28.8">
      <c r="A306" s="35" t="s">
        <v>243</v>
      </c>
      <c r="B306" s="1"/>
      <c r="C306" s="1"/>
      <c r="D306" s="1" t="s">
        <v>244</v>
      </c>
      <c r="E306" s="2" t="s">
        <v>245</v>
      </c>
      <c r="F306" s="2">
        <v>69</v>
      </c>
      <c r="G306" s="2" t="s">
        <v>246</v>
      </c>
      <c r="H306" s="2">
        <v>101</v>
      </c>
      <c r="I306" s="2">
        <v>1257</v>
      </c>
      <c r="J306" s="12">
        <f t="shared" si="86"/>
        <v>1257</v>
      </c>
      <c r="K306" s="5">
        <f t="shared" si="87"/>
        <v>18037.021093413689</v>
      </c>
      <c r="L306" s="2">
        <v>1</v>
      </c>
      <c r="M306" s="37">
        <f t="shared" si="88"/>
        <v>1</v>
      </c>
      <c r="N306" s="2" t="s">
        <v>248</v>
      </c>
      <c r="O306" s="32">
        <f>J306</f>
        <v>1257</v>
      </c>
      <c r="P306" s="32"/>
      <c r="Q306" s="2"/>
      <c r="R306" s="2"/>
      <c r="S306" s="2"/>
      <c r="T306" s="2"/>
      <c r="U306" s="37">
        <f t="shared" si="85"/>
        <v>1</v>
      </c>
      <c r="V306" s="34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</row>
    <row r="307" spans="1:86" ht="28.8">
      <c r="A307" s="35" t="s">
        <v>243</v>
      </c>
      <c r="B307" s="1"/>
      <c r="C307" s="1"/>
      <c r="D307" s="1" t="s">
        <v>244</v>
      </c>
      <c r="E307" s="2" t="s">
        <v>245</v>
      </c>
      <c r="F307" s="2">
        <v>58</v>
      </c>
      <c r="G307" s="2" t="s">
        <v>246</v>
      </c>
      <c r="H307" s="2">
        <v>104.5</v>
      </c>
      <c r="I307" s="2">
        <v>684</v>
      </c>
      <c r="J307" s="12">
        <f t="shared" si="86"/>
        <v>684</v>
      </c>
      <c r="K307" s="5">
        <f t="shared" si="87"/>
        <v>11285.266457680251</v>
      </c>
      <c r="L307" s="2">
        <v>1</v>
      </c>
      <c r="M307" s="37">
        <f t="shared" si="88"/>
        <v>1</v>
      </c>
      <c r="N307" s="2"/>
      <c r="O307" s="32"/>
      <c r="P307" s="32"/>
      <c r="Q307" s="2"/>
      <c r="R307" s="2"/>
      <c r="S307" s="2"/>
      <c r="T307" s="2"/>
      <c r="U307" s="37">
        <f t="shared" si="85"/>
        <v>1</v>
      </c>
      <c r="V307" s="34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</row>
    <row r="308" spans="1:86" ht="28.8">
      <c r="A308" s="35" t="s">
        <v>243</v>
      </c>
      <c r="B308" s="1"/>
      <c r="C308" s="1"/>
      <c r="D308" s="1" t="s">
        <v>244</v>
      </c>
      <c r="E308" s="2" t="s">
        <v>245</v>
      </c>
      <c r="F308" s="2">
        <v>68</v>
      </c>
      <c r="G308" s="2" t="s">
        <v>246</v>
      </c>
      <c r="H308" s="2">
        <v>114</v>
      </c>
      <c r="I308" s="2">
        <v>1215</v>
      </c>
      <c r="J308" s="12">
        <f t="shared" si="86"/>
        <v>1215</v>
      </c>
      <c r="K308" s="5">
        <f t="shared" si="87"/>
        <v>15673.374613003094</v>
      </c>
      <c r="L308" s="2">
        <v>1</v>
      </c>
      <c r="M308" s="37">
        <f t="shared" si="88"/>
        <v>1</v>
      </c>
      <c r="N308" s="2"/>
      <c r="O308" s="32"/>
      <c r="P308" s="32"/>
      <c r="Q308" s="2"/>
      <c r="R308" s="2"/>
      <c r="S308" s="2"/>
      <c r="T308" s="2"/>
      <c r="U308" s="37">
        <f t="shared" si="85"/>
        <v>1</v>
      </c>
      <c r="V308" s="34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</row>
    <row r="309" spans="1:86" ht="28.8">
      <c r="A309" s="35" t="s">
        <v>243</v>
      </c>
      <c r="B309" s="1"/>
      <c r="C309" s="1" t="s">
        <v>249</v>
      </c>
      <c r="D309" s="1" t="s">
        <v>244</v>
      </c>
      <c r="E309" s="2" t="s">
        <v>245</v>
      </c>
      <c r="F309" s="2">
        <v>57</v>
      </c>
      <c r="G309" s="2" t="s">
        <v>246</v>
      </c>
      <c r="H309" s="2">
        <v>104</v>
      </c>
      <c r="I309" s="2">
        <v>705</v>
      </c>
      <c r="J309" s="12">
        <f t="shared" si="86"/>
        <v>705</v>
      </c>
      <c r="K309" s="5">
        <f t="shared" si="87"/>
        <v>11892.712550607286</v>
      </c>
      <c r="L309" s="2">
        <v>1</v>
      </c>
      <c r="M309" s="37">
        <f t="shared" si="88"/>
        <v>1</v>
      </c>
      <c r="N309" s="2"/>
      <c r="O309" s="32"/>
      <c r="P309" s="32"/>
      <c r="Q309" s="2"/>
      <c r="R309" s="2"/>
      <c r="S309" s="2"/>
      <c r="T309" s="2"/>
      <c r="U309" s="37">
        <f t="shared" si="85"/>
        <v>1</v>
      </c>
      <c r="V309" s="34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</row>
    <row r="310" spans="1:86" ht="28.8">
      <c r="A310" s="35" t="s">
        <v>243</v>
      </c>
      <c r="B310" s="1"/>
      <c r="C310" s="1"/>
      <c r="D310" s="1" t="s">
        <v>244</v>
      </c>
      <c r="E310" s="2" t="s">
        <v>245</v>
      </c>
      <c r="F310" s="2">
        <v>73</v>
      </c>
      <c r="G310" s="2" t="s">
        <v>246</v>
      </c>
      <c r="H310" s="2">
        <v>113.5</v>
      </c>
      <c r="I310" s="2">
        <v>1213</v>
      </c>
      <c r="J310" s="12">
        <f t="shared" si="86"/>
        <v>1213</v>
      </c>
      <c r="K310" s="5">
        <f t="shared" si="87"/>
        <v>14640.033793977429</v>
      </c>
      <c r="L310" s="2">
        <v>1</v>
      </c>
      <c r="M310" s="37">
        <f t="shared" si="88"/>
        <v>1</v>
      </c>
      <c r="N310" s="2"/>
      <c r="O310" s="32"/>
      <c r="P310" s="32"/>
      <c r="Q310" s="2"/>
      <c r="R310" s="2"/>
      <c r="S310" s="2"/>
      <c r="T310" s="2"/>
      <c r="U310" s="37">
        <f t="shared" si="85"/>
        <v>1</v>
      </c>
      <c r="V310" s="34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</row>
    <row r="311" spans="1:86" ht="28.8">
      <c r="A311" s="35" t="s">
        <v>243</v>
      </c>
      <c r="B311" s="1"/>
      <c r="C311" s="1"/>
      <c r="D311" s="1" t="s">
        <v>244</v>
      </c>
      <c r="E311" s="2" t="s">
        <v>245</v>
      </c>
      <c r="F311" s="2">
        <v>78</v>
      </c>
      <c r="G311" s="2" t="s">
        <v>246</v>
      </c>
      <c r="H311" s="2">
        <v>120</v>
      </c>
      <c r="I311" s="2">
        <v>1282</v>
      </c>
      <c r="J311" s="12">
        <f t="shared" si="86"/>
        <v>1282</v>
      </c>
      <c r="K311" s="5">
        <f t="shared" si="87"/>
        <v>13696.581196581195</v>
      </c>
      <c r="L311" s="2">
        <v>1</v>
      </c>
      <c r="M311" s="37">
        <f t="shared" si="88"/>
        <v>1</v>
      </c>
      <c r="N311" s="2"/>
      <c r="O311" s="32"/>
      <c r="P311" s="32">
        <f>J311-O311</f>
        <v>1282</v>
      </c>
      <c r="Q311" s="2"/>
      <c r="R311" s="2"/>
      <c r="S311" s="2"/>
      <c r="T311" s="2"/>
      <c r="U311" s="37">
        <f t="shared" si="85"/>
        <v>1</v>
      </c>
      <c r="V311" s="34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</row>
    <row r="312" spans="1:86" ht="28.8">
      <c r="A312" s="35" t="s">
        <v>243</v>
      </c>
      <c r="B312" s="1"/>
      <c r="C312" s="1"/>
      <c r="D312" s="1" t="s">
        <v>244</v>
      </c>
      <c r="E312" s="2" t="s">
        <v>245</v>
      </c>
      <c r="F312" s="2">
        <v>78</v>
      </c>
      <c r="G312" s="2" t="s">
        <v>246</v>
      </c>
      <c r="H312" s="2">
        <v>123.5</v>
      </c>
      <c r="I312" s="2">
        <v>1318</v>
      </c>
      <c r="J312" s="12">
        <f t="shared" si="86"/>
        <v>1318</v>
      </c>
      <c r="K312" s="5">
        <f t="shared" si="87"/>
        <v>13682.134329907607</v>
      </c>
      <c r="L312" s="2">
        <v>1</v>
      </c>
      <c r="M312" s="37">
        <f t="shared" si="88"/>
        <v>1</v>
      </c>
      <c r="N312" s="2"/>
      <c r="O312" s="32"/>
      <c r="P312" s="32">
        <f>J312-O312</f>
        <v>1318</v>
      </c>
      <c r="Q312" s="2"/>
      <c r="R312" s="2"/>
      <c r="S312" s="2"/>
      <c r="T312" s="2"/>
      <c r="U312" s="37">
        <f t="shared" si="85"/>
        <v>1</v>
      </c>
      <c r="V312" s="34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</row>
    <row r="313" spans="1:86" ht="28.8">
      <c r="A313" s="35" t="s">
        <v>243</v>
      </c>
      <c r="B313" s="1"/>
      <c r="C313" s="1"/>
      <c r="D313" s="1" t="s">
        <v>244</v>
      </c>
      <c r="E313" s="2" t="s">
        <v>245</v>
      </c>
      <c r="F313" s="2">
        <v>79</v>
      </c>
      <c r="G313" s="2" t="s">
        <v>246</v>
      </c>
      <c r="H313" s="2">
        <v>122</v>
      </c>
      <c r="I313" s="2">
        <v>1017</v>
      </c>
      <c r="J313" s="12">
        <f t="shared" si="86"/>
        <v>1017</v>
      </c>
      <c r="K313" s="5">
        <f t="shared" si="87"/>
        <v>10551.981738949989</v>
      </c>
      <c r="L313" s="2">
        <v>1</v>
      </c>
      <c r="M313" s="37">
        <f t="shared" si="88"/>
        <v>1</v>
      </c>
      <c r="N313" s="2"/>
      <c r="O313" s="32"/>
      <c r="P313" s="32">
        <f>J313-O313</f>
        <v>1017</v>
      </c>
      <c r="Q313" s="2"/>
      <c r="R313" s="2"/>
      <c r="S313" s="2"/>
      <c r="T313" s="2"/>
      <c r="U313" s="37">
        <f t="shared" si="85"/>
        <v>1</v>
      </c>
      <c r="V313" s="34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</row>
    <row r="314" spans="1:86" ht="28.8">
      <c r="A314" s="35" t="s">
        <v>243</v>
      </c>
      <c r="B314" s="1"/>
      <c r="C314" s="1"/>
      <c r="D314" s="1" t="s">
        <v>244</v>
      </c>
      <c r="E314" s="2" t="s">
        <v>245</v>
      </c>
      <c r="F314" s="2">
        <v>71</v>
      </c>
      <c r="G314" s="2" t="s">
        <v>246</v>
      </c>
      <c r="H314" s="2">
        <v>121</v>
      </c>
      <c r="I314" s="2">
        <v>973</v>
      </c>
      <c r="J314" s="12">
        <f t="shared" si="86"/>
        <v>973</v>
      </c>
      <c r="K314" s="5">
        <f t="shared" si="87"/>
        <v>11325.806076126179</v>
      </c>
      <c r="L314" s="2">
        <v>1</v>
      </c>
      <c r="M314" s="37">
        <f t="shared" si="88"/>
        <v>1</v>
      </c>
      <c r="N314" s="2"/>
      <c r="O314" s="32"/>
      <c r="P314" s="32"/>
      <c r="Q314" s="2"/>
      <c r="R314" s="2"/>
      <c r="S314" s="2"/>
      <c r="T314" s="2"/>
      <c r="U314" s="37">
        <f t="shared" si="85"/>
        <v>1</v>
      </c>
      <c r="V314" s="34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</row>
    <row r="315" spans="1:86" ht="28.8">
      <c r="A315" s="35" t="s">
        <v>243</v>
      </c>
      <c r="B315" s="1"/>
      <c r="C315" s="1"/>
      <c r="D315" s="1" t="s">
        <v>244</v>
      </c>
      <c r="E315" s="2" t="s">
        <v>245</v>
      </c>
      <c r="F315" s="2">
        <v>74</v>
      </c>
      <c r="G315" s="2" t="s">
        <v>246</v>
      </c>
      <c r="H315" s="2">
        <v>123</v>
      </c>
      <c r="I315" s="2">
        <v>967</v>
      </c>
      <c r="J315" s="12">
        <f t="shared" si="86"/>
        <v>967</v>
      </c>
      <c r="K315" s="5">
        <f t="shared" si="87"/>
        <v>10624.038672819161</v>
      </c>
      <c r="L315" s="2">
        <v>1</v>
      </c>
      <c r="M315" s="37">
        <f t="shared" si="88"/>
        <v>1</v>
      </c>
      <c r="N315" s="2"/>
      <c r="O315" s="32"/>
      <c r="P315" s="32">
        <f>J315-O315</f>
        <v>967</v>
      </c>
      <c r="Q315" s="2"/>
      <c r="R315" s="2"/>
      <c r="S315" s="2"/>
      <c r="T315" s="2"/>
      <c r="U315" s="37">
        <f t="shared" si="85"/>
        <v>1</v>
      </c>
      <c r="V315" s="34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spans="1:86" ht="28.8">
      <c r="A316" s="35" t="s">
        <v>243</v>
      </c>
      <c r="B316" s="1"/>
      <c r="C316" s="1"/>
      <c r="D316" s="1" t="s">
        <v>244</v>
      </c>
      <c r="E316" s="2" t="s">
        <v>245</v>
      </c>
      <c r="F316" s="2">
        <v>66</v>
      </c>
      <c r="G316" s="2" t="s">
        <v>246</v>
      </c>
      <c r="H316" s="2">
        <v>105</v>
      </c>
      <c r="I316" s="2">
        <v>1294</v>
      </c>
      <c r="J316" s="12">
        <f t="shared" si="86"/>
        <v>1294</v>
      </c>
      <c r="K316" s="5">
        <f t="shared" si="87"/>
        <v>18672.438672438671</v>
      </c>
      <c r="L316" s="2">
        <v>1</v>
      </c>
      <c r="M316" s="37">
        <f t="shared" si="88"/>
        <v>1</v>
      </c>
      <c r="N316" s="2"/>
      <c r="O316" s="32"/>
      <c r="P316" s="32"/>
      <c r="Q316" s="2"/>
      <c r="R316" s="2"/>
      <c r="S316" s="2"/>
      <c r="T316" s="2"/>
      <c r="U316" s="37">
        <f t="shared" si="85"/>
        <v>1</v>
      </c>
      <c r="V316" s="34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spans="1:86" ht="28.8">
      <c r="A317" s="35" t="s">
        <v>243</v>
      </c>
      <c r="B317" s="1"/>
      <c r="C317" s="1"/>
      <c r="D317" s="1" t="s">
        <v>244</v>
      </c>
      <c r="E317" s="2" t="s">
        <v>245</v>
      </c>
      <c r="F317" s="2">
        <v>68</v>
      </c>
      <c r="G317" s="2" t="s">
        <v>246</v>
      </c>
      <c r="H317" s="2">
        <v>105</v>
      </c>
      <c r="I317" s="2">
        <v>1311</v>
      </c>
      <c r="J317" s="12">
        <f t="shared" si="86"/>
        <v>1311</v>
      </c>
      <c r="K317" s="5">
        <f t="shared" si="87"/>
        <v>18361.344537815126</v>
      </c>
      <c r="L317" s="2">
        <v>1</v>
      </c>
      <c r="M317" s="37">
        <f t="shared" si="88"/>
        <v>1</v>
      </c>
      <c r="N317" s="2"/>
      <c r="O317" s="32"/>
      <c r="P317" s="32"/>
      <c r="Q317" s="2"/>
      <c r="R317" s="2"/>
      <c r="S317" s="2"/>
      <c r="T317" s="2"/>
      <c r="U317" s="37">
        <f t="shared" si="85"/>
        <v>1</v>
      </c>
      <c r="V317" s="34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</row>
    <row r="318" spans="1:86" ht="28.8">
      <c r="A318" s="35" t="s">
        <v>243</v>
      </c>
      <c r="B318" s="1"/>
      <c r="C318" s="1"/>
      <c r="D318" s="1" t="s">
        <v>244</v>
      </c>
      <c r="E318" s="2" t="s">
        <v>245</v>
      </c>
      <c r="F318" s="2">
        <v>70</v>
      </c>
      <c r="G318" s="2" t="s">
        <v>246</v>
      </c>
      <c r="H318" s="2">
        <v>101.5</v>
      </c>
      <c r="I318" s="2">
        <v>1254</v>
      </c>
      <c r="J318" s="12">
        <f t="shared" si="86"/>
        <v>1254</v>
      </c>
      <c r="K318" s="5">
        <f t="shared" si="87"/>
        <v>17649.54257565095</v>
      </c>
      <c r="L318" s="2">
        <v>1</v>
      </c>
      <c r="M318" s="37">
        <f t="shared" si="88"/>
        <v>1</v>
      </c>
      <c r="N318" s="2" t="s">
        <v>248</v>
      </c>
      <c r="O318" s="32">
        <f>J318</f>
        <v>1254</v>
      </c>
      <c r="P318" s="32"/>
      <c r="Q318" s="2"/>
      <c r="R318" s="2"/>
      <c r="S318" s="2"/>
      <c r="T318" s="2"/>
      <c r="U318" s="37">
        <f t="shared" si="85"/>
        <v>1</v>
      </c>
      <c r="V318" s="34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</row>
    <row r="319" spans="1:86" ht="28.8">
      <c r="A319" s="35" t="s">
        <v>243</v>
      </c>
      <c r="B319" s="1"/>
      <c r="C319" s="1"/>
      <c r="D319" s="1" t="s">
        <v>244</v>
      </c>
      <c r="E319" s="2" t="s">
        <v>245</v>
      </c>
      <c r="F319" s="2">
        <v>66</v>
      </c>
      <c r="G319" s="2" t="s">
        <v>246</v>
      </c>
      <c r="H319" s="2">
        <v>105</v>
      </c>
      <c r="I319" s="2">
        <v>1236</v>
      </c>
      <c r="J319" s="12">
        <f t="shared" si="86"/>
        <v>1236</v>
      </c>
      <c r="K319" s="5">
        <f t="shared" si="87"/>
        <v>17835.497835497834</v>
      </c>
      <c r="L319" s="2">
        <v>1</v>
      </c>
      <c r="M319" s="37">
        <f t="shared" si="88"/>
        <v>1</v>
      </c>
      <c r="N319" s="2"/>
      <c r="O319" s="32"/>
      <c r="P319" s="32"/>
      <c r="Q319" s="2"/>
      <c r="R319" s="2"/>
      <c r="S319" s="2"/>
      <c r="T319" s="2"/>
      <c r="U319" s="37">
        <f t="shared" si="85"/>
        <v>1</v>
      </c>
      <c r="V319" s="34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</row>
    <row r="320" spans="1:86" ht="28.8">
      <c r="A320" s="35" t="s">
        <v>243</v>
      </c>
      <c r="B320" s="1"/>
      <c r="C320" s="1"/>
      <c r="D320" s="1" t="s">
        <v>244</v>
      </c>
      <c r="E320" s="2" t="s">
        <v>245</v>
      </c>
      <c r="F320" s="2">
        <v>67</v>
      </c>
      <c r="G320" s="2" t="s">
        <v>246</v>
      </c>
      <c r="H320" s="2">
        <v>105</v>
      </c>
      <c r="I320" s="2">
        <v>1346</v>
      </c>
      <c r="J320" s="12">
        <f t="shared" si="86"/>
        <v>1346</v>
      </c>
      <c r="K320" s="5">
        <f t="shared" si="87"/>
        <v>19132.906894100921</v>
      </c>
      <c r="L320" s="2">
        <v>1</v>
      </c>
      <c r="M320" s="37">
        <f t="shared" si="88"/>
        <v>1</v>
      </c>
      <c r="N320" s="2"/>
      <c r="O320" s="32"/>
      <c r="P320" s="32"/>
      <c r="Q320" s="2"/>
      <c r="R320" s="2"/>
      <c r="S320" s="2"/>
      <c r="T320" s="2"/>
      <c r="U320" s="37">
        <f t="shared" si="85"/>
        <v>1</v>
      </c>
      <c r="V320" s="34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</row>
    <row r="321" spans="1:86" ht="28.8">
      <c r="A321" s="35" t="s">
        <v>243</v>
      </c>
      <c r="B321" s="1"/>
      <c r="C321" s="1"/>
      <c r="D321" s="1" t="s">
        <v>244</v>
      </c>
      <c r="E321" s="2" t="s">
        <v>245</v>
      </c>
      <c r="F321" s="2">
        <v>69</v>
      </c>
      <c r="G321" s="2" t="s">
        <v>246</v>
      </c>
      <c r="H321" s="2">
        <v>100.5</v>
      </c>
      <c r="I321" s="2">
        <v>1266</v>
      </c>
      <c r="J321" s="12">
        <f t="shared" si="86"/>
        <v>1266</v>
      </c>
      <c r="K321" s="5">
        <f t="shared" si="87"/>
        <v>18256.543370105992</v>
      </c>
      <c r="L321" s="2">
        <v>1</v>
      </c>
      <c r="M321" s="37">
        <f t="shared" si="88"/>
        <v>1</v>
      </c>
      <c r="N321" s="2" t="s">
        <v>248</v>
      </c>
      <c r="O321" s="32">
        <f>J321</f>
        <v>1266</v>
      </c>
      <c r="P321" s="32"/>
      <c r="Q321" s="2"/>
      <c r="R321" s="2"/>
      <c r="S321" s="2"/>
      <c r="T321" s="2"/>
      <c r="U321" s="37">
        <f t="shared" si="85"/>
        <v>1</v>
      </c>
      <c r="V321" s="34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</row>
    <row r="322" spans="1:86" ht="28.8">
      <c r="A322" s="35" t="s">
        <v>243</v>
      </c>
      <c r="B322" s="1"/>
      <c r="C322" s="1"/>
      <c r="D322" s="1" t="s">
        <v>244</v>
      </c>
      <c r="E322" s="2" t="s">
        <v>245</v>
      </c>
      <c r="F322" s="2">
        <v>68</v>
      </c>
      <c r="G322" s="2" t="s">
        <v>246</v>
      </c>
      <c r="H322" s="2">
        <v>103.5</v>
      </c>
      <c r="I322" s="2">
        <v>1267</v>
      </c>
      <c r="J322" s="12">
        <f t="shared" ref="J322:J350" si="89">IFERROR(IF(AND(V322=3,U322&gt;0),I322,I322*U322),"Verify")</f>
        <v>1267</v>
      </c>
      <c r="K322" s="5">
        <f t="shared" ref="K322:K350" si="90">+J322/(F322*H322*10^-5)</f>
        <v>18002.273373117361</v>
      </c>
      <c r="L322" s="2">
        <v>1</v>
      </c>
      <c r="M322" s="37">
        <f t="shared" ref="M322:M350" si="91">+L322-X322-Z322-AD322-AB322-AF322-AH322-AJ322-AL322-AO322-AQ322-AS322-AU322-AW322-AY322-BA322-BC322-BE322-BG322-BI322-BK322-BM322-BO322-BQ322-BS322-BU322-BW322-BY322-CA322-CC322-CE322-CG322</f>
        <v>1</v>
      </c>
      <c r="N322" s="2"/>
      <c r="O322" s="32"/>
      <c r="P322" s="32"/>
      <c r="Q322" s="2"/>
      <c r="R322" s="2"/>
      <c r="S322" s="2"/>
      <c r="T322" s="2"/>
      <c r="U322" s="37">
        <f t="shared" si="85"/>
        <v>1</v>
      </c>
      <c r="V322" s="34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</row>
    <row r="323" spans="1:86" ht="28.8">
      <c r="A323" s="35" t="s">
        <v>243</v>
      </c>
      <c r="B323" s="1"/>
      <c r="C323" s="1"/>
      <c r="D323" s="1" t="s">
        <v>244</v>
      </c>
      <c r="E323" s="2" t="s">
        <v>245</v>
      </c>
      <c r="F323" s="2">
        <v>63</v>
      </c>
      <c r="G323" s="2" t="s">
        <v>246</v>
      </c>
      <c r="H323" s="2">
        <v>119.5</v>
      </c>
      <c r="I323" s="2">
        <v>910</v>
      </c>
      <c r="J323" s="12">
        <f t="shared" si="89"/>
        <v>910</v>
      </c>
      <c r="K323" s="5">
        <f t="shared" si="90"/>
        <v>12087.401208740121</v>
      </c>
      <c r="L323" s="2">
        <v>1</v>
      </c>
      <c r="M323" s="37">
        <f t="shared" si="91"/>
        <v>1</v>
      </c>
      <c r="N323" s="2"/>
      <c r="O323" s="32"/>
      <c r="P323" s="32"/>
      <c r="Q323" s="2"/>
      <c r="R323" s="2"/>
      <c r="S323" s="2"/>
      <c r="T323" s="2"/>
      <c r="U323" s="37">
        <f t="shared" si="85"/>
        <v>1</v>
      </c>
      <c r="V323" s="34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</row>
    <row r="324" spans="1:86" ht="28.8">
      <c r="A324" s="35" t="s">
        <v>243</v>
      </c>
      <c r="B324" s="1"/>
      <c r="C324" s="1"/>
      <c r="D324" s="1" t="s">
        <v>244</v>
      </c>
      <c r="E324" s="2" t="s">
        <v>245</v>
      </c>
      <c r="F324" s="2">
        <v>71</v>
      </c>
      <c r="G324" s="2" t="s">
        <v>246</v>
      </c>
      <c r="H324" s="2">
        <v>103</v>
      </c>
      <c r="I324" s="2">
        <v>1232</v>
      </c>
      <c r="J324" s="12">
        <f t="shared" si="89"/>
        <v>1232</v>
      </c>
      <c r="K324" s="5">
        <f t="shared" si="90"/>
        <v>16846.711335977026</v>
      </c>
      <c r="L324" s="2">
        <v>1</v>
      </c>
      <c r="M324" s="37">
        <f t="shared" si="91"/>
        <v>1</v>
      </c>
      <c r="N324" s="2" t="s">
        <v>248</v>
      </c>
      <c r="O324" s="32">
        <f>J324</f>
        <v>1232</v>
      </c>
      <c r="P324" s="32"/>
      <c r="Q324" s="2"/>
      <c r="R324" s="2"/>
      <c r="S324" s="2"/>
      <c r="T324" s="2"/>
      <c r="U324" s="37">
        <f t="shared" si="85"/>
        <v>1</v>
      </c>
      <c r="V324" s="34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</row>
    <row r="325" spans="1:86" ht="28.8">
      <c r="A325" s="35" t="s">
        <v>243</v>
      </c>
      <c r="B325" s="1"/>
      <c r="C325" s="1"/>
      <c r="D325" s="1" t="s">
        <v>244</v>
      </c>
      <c r="E325" s="2" t="s">
        <v>245</v>
      </c>
      <c r="F325" s="2">
        <v>65</v>
      </c>
      <c r="G325" s="2" t="s">
        <v>246</v>
      </c>
      <c r="H325" s="2">
        <v>121.5</v>
      </c>
      <c r="I325" s="2">
        <v>982</v>
      </c>
      <c r="J325" s="12">
        <f t="shared" si="89"/>
        <v>982</v>
      </c>
      <c r="K325" s="5">
        <f t="shared" si="90"/>
        <v>12434.314656536879</v>
      </c>
      <c r="L325" s="2">
        <v>1</v>
      </c>
      <c r="M325" s="37">
        <f t="shared" si="91"/>
        <v>1</v>
      </c>
      <c r="N325" s="2"/>
      <c r="O325" s="32"/>
      <c r="P325" s="32"/>
      <c r="Q325" s="2"/>
      <c r="R325" s="2"/>
      <c r="S325" s="2"/>
      <c r="T325" s="2"/>
      <c r="U325" s="37">
        <f t="shared" si="85"/>
        <v>1</v>
      </c>
      <c r="V325" s="34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</row>
    <row r="326" spans="1:86" ht="28.8">
      <c r="A326" s="35" t="s">
        <v>243</v>
      </c>
      <c r="B326" s="1"/>
      <c r="C326" s="1"/>
      <c r="D326" s="1" t="s">
        <v>244</v>
      </c>
      <c r="E326" s="2" t="s">
        <v>245</v>
      </c>
      <c r="F326" s="2">
        <v>69</v>
      </c>
      <c r="G326" s="2" t="s">
        <v>246</v>
      </c>
      <c r="H326" s="2">
        <v>102.5</v>
      </c>
      <c r="I326" s="2">
        <v>383</v>
      </c>
      <c r="J326" s="12">
        <f t="shared" si="89"/>
        <v>383</v>
      </c>
      <c r="K326" s="5">
        <f t="shared" si="90"/>
        <v>5415.3411099328378</v>
      </c>
      <c r="L326" s="2">
        <v>1</v>
      </c>
      <c r="M326" s="37">
        <f t="shared" si="91"/>
        <v>1</v>
      </c>
      <c r="N326" s="2" t="s">
        <v>248</v>
      </c>
      <c r="O326" s="32">
        <f>J326</f>
        <v>383</v>
      </c>
      <c r="P326" s="32"/>
      <c r="Q326" s="2"/>
      <c r="R326" s="2"/>
      <c r="S326" s="2"/>
      <c r="T326" s="2"/>
      <c r="U326" s="37">
        <f t="shared" si="85"/>
        <v>1</v>
      </c>
      <c r="V326" s="34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</row>
    <row r="327" spans="1:86" ht="28.8">
      <c r="A327" s="35" t="s">
        <v>243</v>
      </c>
      <c r="B327" s="1"/>
      <c r="C327" s="1"/>
      <c r="D327" s="1" t="s">
        <v>244</v>
      </c>
      <c r="E327" s="2" t="s">
        <v>245</v>
      </c>
      <c r="F327" s="2">
        <v>59</v>
      </c>
      <c r="G327" s="2" t="s">
        <v>246</v>
      </c>
      <c r="H327" s="2">
        <v>113</v>
      </c>
      <c r="I327" s="2">
        <v>377</v>
      </c>
      <c r="J327" s="12">
        <f t="shared" si="89"/>
        <v>377</v>
      </c>
      <c r="K327" s="5">
        <f t="shared" si="90"/>
        <v>5654.7172641367924</v>
      </c>
      <c r="L327" s="2">
        <v>1</v>
      </c>
      <c r="M327" s="37">
        <f t="shared" si="91"/>
        <v>1</v>
      </c>
      <c r="N327" s="2"/>
      <c r="O327" s="32"/>
      <c r="P327" s="32"/>
      <c r="Q327" s="2"/>
      <c r="R327" s="2"/>
      <c r="S327" s="2"/>
      <c r="T327" s="2"/>
      <c r="U327" s="37">
        <f t="shared" si="85"/>
        <v>1</v>
      </c>
      <c r="V327" s="34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</row>
    <row r="328" spans="1:86" ht="28.8">
      <c r="A328" s="35" t="s">
        <v>243</v>
      </c>
      <c r="B328" s="1"/>
      <c r="C328" s="1"/>
      <c r="D328" s="1" t="s">
        <v>244</v>
      </c>
      <c r="E328" s="2" t="s">
        <v>245</v>
      </c>
      <c r="F328" s="2">
        <v>60</v>
      </c>
      <c r="G328" s="2" t="s">
        <v>246</v>
      </c>
      <c r="H328" s="2">
        <v>98</v>
      </c>
      <c r="I328" s="2">
        <v>325</v>
      </c>
      <c r="J328" s="12">
        <f t="shared" si="89"/>
        <v>325</v>
      </c>
      <c r="K328" s="5">
        <f t="shared" si="90"/>
        <v>5527.2108843537408</v>
      </c>
      <c r="L328" s="2">
        <v>1</v>
      </c>
      <c r="M328" s="37">
        <f t="shared" si="91"/>
        <v>1</v>
      </c>
      <c r="N328" s="2"/>
      <c r="O328" s="32"/>
      <c r="P328" s="32"/>
      <c r="Q328" s="2"/>
      <c r="R328" s="2"/>
      <c r="S328" s="2"/>
      <c r="T328" s="2"/>
      <c r="U328" s="37">
        <f t="shared" si="85"/>
        <v>1</v>
      </c>
      <c r="V328" s="34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</row>
    <row r="329" spans="1:86" ht="28.8">
      <c r="A329" s="35" t="s">
        <v>243</v>
      </c>
      <c r="B329" s="1"/>
      <c r="C329" s="1"/>
      <c r="D329" s="1" t="s">
        <v>244</v>
      </c>
      <c r="E329" s="2" t="s">
        <v>245</v>
      </c>
      <c r="F329" s="2">
        <v>71</v>
      </c>
      <c r="G329" s="2" t="s">
        <v>246</v>
      </c>
      <c r="H329" s="2">
        <v>114</v>
      </c>
      <c r="I329" s="2">
        <v>507</v>
      </c>
      <c r="J329" s="12">
        <f t="shared" si="89"/>
        <v>507</v>
      </c>
      <c r="K329" s="5">
        <f t="shared" si="90"/>
        <v>6263.8991845811706</v>
      </c>
      <c r="L329" s="2">
        <v>1</v>
      </c>
      <c r="M329" s="37">
        <f t="shared" si="91"/>
        <v>1</v>
      </c>
      <c r="N329" s="2"/>
      <c r="O329" s="32"/>
      <c r="P329" s="32"/>
      <c r="Q329" s="2"/>
      <c r="R329" s="2"/>
      <c r="S329" s="2"/>
      <c r="T329" s="2"/>
      <c r="U329" s="37">
        <f t="shared" si="85"/>
        <v>1</v>
      </c>
      <c r="V329" s="34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</row>
    <row r="330" spans="1:86" ht="28.8">
      <c r="A330" s="35" t="s">
        <v>243</v>
      </c>
      <c r="B330" s="1"/>
      <c r="C330" s="1"/>
      <c r="D330" s="1" t="s">
        <v>244</v>
      </c>
      <c r="E330" s="2" t="s">
        <v>245</v>
      </c>
      <c r="F330" s="2">
        <v>69</v>
      </c>
      <c r="G330" s="2" t="s">
        <v>246</v>
      </c>
      <c r="H330" s="2">
        <v>103.5</v>
      </c>
      <c r="I330" s="2">
        <v>389</v>
      </c>
      <c r="J330" s="12">
        <f t="shared" si="89"/>
        <v>389</v>
      </c>
      <c r="K330" s="5">
        <f t="shared" si="90"/>
        <v>5447.0349366379605</v>
      </c>
      <c r="L330" s="2">
        <v>1</v>
      </c>
      <c r="M330" s="37">
        <f t="shared" si="91"/>
        <v>1</v>
      </c>
      <c r="N330" s="2"/>
      <c r="O330" s="32"/>
      <c r="P330" s="32"/>
      <c r="Q330" s="2"/>
      <c r="R330" s="2"/>
      <c r="S330" s="2"/>
      <c r="T330" s="2"/>
      <c r="U330" s="37">
        <f t="shared" si="85"/>
        <v>1</v>
      </c>
      <c r="V330" s="34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</row>
    <row r="331" spans="1:86" ht="28.8">
      <c r="A331" s="35" t="s">
        <v>243</v>
      </c>
      <c r="B331" s="1"/>
      <c r="C331" s="1" t="s">
        <v>249</v>
      </c>
      <c r="D331" s="1" t="s">
        <v>244</v>
      </c>
      <c r="E331" s="2" t="s">
        <v>245</v>
      </c>
      <c r="F331" s="2">
        <v>55</v>
      </c>
      <c r="G331" s="2" t="s">
        <v>246</v>
      </c>
      <c r="H331" s="2">
        <v>103.5</v>
      </c>
      <c r="I331" s="2">
        <v>1109</v>
      </c>
      <c r="J331" s="12">
        <f t="shared" si="89"/>
        <v>1109</v>
      </c>
      <c r="K331" s="5">
        <f t="shared" si="90"/>
        <v>19481.774264382959</v>
      </c>
      <c r="L331" s="2">
        <v>1</v>
      </c>
      <c r="M331" s="37">
        <f t="shared" si="91"/>
        <v>1</v>
      </c>
      <c r="N331" s="2"/>
      <c r="O331" s="32"/>
      <c r="P331" s="32"/>
      <c r="Q331" s="2"/>
      <c r="R331" s="2"/>
      <c r="S331" s="2"/>
      <c r="T331" s="2"/>
      <c r="U331" s="37">
        <f t="shared" ref="U331:U391" si="92">+L331-X331-Z331-AD331-AB331-AF331-AH331-AJ331-AL331-AO331-AQ331-AS331-AU331-AW331-AY331-BA331-BC331-BE331-BG331-BI331-BK331-BM331-BO331-BQ331-BS331-BU331-BW331-BY331-CA331-CC331-CE331-CG331</f>
        <v>1</v>
      </c>
      <c r="V331" s="34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</row>
    <row r="332" spans="1:86" ht="28.8">
      <c r="A332" s="35" t="s">
        <v>243</v>
      </c>
      <c r="B332" s="1"/>
      <c r="C332" s="1"/>
      <c r="D332" s="1" t="s">
        <v>244</v>
      </c>
      <c r="E332" s="2" t="s">
        <v>245</v>
      </c>
      <c r="F332" s="2">
        <v>51</v>
      </c>
      <c r="G332" s="2" t="s">
        <v>246</v>
      </c>
      <c r="H332" s="2">
        <v>93</v>
      </c>
      <c r="I332" s="2">
        <v>953</v>
      </c>
      <c r="J332" s="12">
        <f t="shared" si="89"/>
        <v>953</v>
      </c>
      <c r="K332" s="5">
        <f t="shared" si="90"/>
        <v>20092.76829011174</v>
      </c>
      <c r="L332" s="2">
        <v>1</v>
      </c>
      <c r="M332" s="37">
        <f t="shared" si="91"/>
        <v>1</v>
      </c>
      <c r="N332" s="2"/>
      <c r="O332" s="32"/>
      <c r="P332" s="32"/>
      <c r="Q332" s="2"/>
      <c r="R332" s="2"/>
      <c r="S332" s="2"/>
      <c r="T332" s="2"/>
      <c r="U332" s="37">
        <f t="shared" si="92"/>
        <v>1</v>
      </c>
      <c r="V332" s="34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</row>
    <row r="333" spans="1:86" ht="28.8">
      <c r="A333" s="35" t="s">
        <v>243</v>
      </c>
      <c r="B333" s="1"/>
      <c r="C333" s="1"/>
      <c r="D333" s="1" t="s">
        <v>244</v>
      </c>
      <c r="E333" s="2" t="s">
        <v>245</v>
      </c>
      <c r="F333" s="2">
        <v>58</v>
      </c>
      <c r="G333" s="2" t="s">
        <v>246</v>
      </c>
      <c r="H333" s="2">
        <v>119</v>
      </c>
      <c r="I333" s="2">
        <v>1040</v>
      </c>
      <c r="J333" s="12">
        <f t="shared" si="89"/>
        <v>1040</v>
      </c>
      <c r="K333" s="5">
        <f t="shared" si="90"/>
        <v>15068.096203998839</v>
      </c>
      <c r="L333" s="2">
        <v>1</v>
      </c>
      <c r="M333" s="37">
        <f t="shared" si="91"/>
        <v>1</v>
      </c>
      <c r="N333" s="2"/>
      <c r="O333" s="32"/>
      <c r="P333" s="32"/>
      <c r="Q333" s="2"/>
      <c r="R333" s="2"/>
      <c r="S333" s="2"/>
      <c r="T333" s="2"/>
      <c r="U333" s="37">
        <f t="shared" si="92"/>
        <v>1</v>
      </c>
      <c r="V333" s="34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</row>
    <row r="334" spans="1:86" ht="28.8">
      <c r="A334" s="35" t="s">
        <v>243</v>
      </c>
      <c r="B334" s="1"/>
      <c r="C334" s="1"/>
      <c r="D334" s="1" t="s">
        <v>244</v>
      </c>
      <c r="E334" s="2" t="s">
        <v>245</v>
      </c>
      <c r="F334" s="2">
        <v>58</v>
      </c>
      <c r="G334" s="2" t="s">
        <v>246</v>
      </c>
      <c r="H334" s="2">
        <v>121</v>
      </c>
      <c r="I334" s="2">
        <v>1052</v>
      </c>
      <c r="J334" s="12">
        <f t="shared" si="89"/>
        <v>1052</v>
      </c>
      <c r="K334" s="5">
        <f t="shared" si="90"/>
        <v>14990.025648332858</v>
      </c>
      <c r="L334" s="2">
        <v>1</v>
      </c>
      <c r="M334" s="37">
        <f t="shared" si="91"/>
        <v>1</v>
      </c>
      <c r="N334" s="2"/>
      <c r="O334" s="32"/>
      <c r="P334" s="32"/>
      <c r="Q334" s="2"/>
      <c r="R334" s="2"/>
      <c r="S334" s="2"/>
      <c r="T334" s="2"/>
      <c r="U334" s="37">
        <f t="shared" si="92"/>
        <v>1</v>
      </c>
      <c r="V334" s="34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</row>
    <row r="335" spans="1:86" ht="28.8">
      <c r="A335" s="35" t="s">
        <v>243</v>
      </c>
      <c r="B335" s="1"/>
      <c r="C335" s="1" t="s">
        <v>250</v>
      </c>
      <c r="D335" s="1" t="s">
        <v>244</v>
      </c>
      <c r="E335" s="2" t="s">
        <v>245</v>
      </c>
      <c r="F335" s="2">
        <v>57</v>
      </c>
      <c r="G335" s="2" t="s">
        <v>246</v>
      </c>
      <c r="H335" s="2">
        <v>103</v>
      </c>
      <c r="I335" s="2">
        <v>1337</v>
      </c>
      <c r="J335" s="12">
        <f t="shared" si="89"/>
        <v>1337</v>
      </c>
      <c r="K335" s="5">
        <f t="shared" si="90"/>
        <v>22772.951796968147</v>
      </c>
      <c r="L335" s="2">
        <v>1</v>
      </c>
      <c r="M335" s="37">
        <f t="shared" si="91"/>
        <v>1</v>
      </c>
      <c r="N335" s="2"/>
      <c r="O335" s="32"/>
      <c r="P335" s="32"/>
      <c r="Q335" s="2"/>
      <c r="R335" s="2"/>
      <c r="S335" s="2"/>
      <c r="T335" s="2"/>
      <c r="U335" s="37">
        <f t="shared" si="92"/>
        <v>1</v>
      </c>
      <c r="V335" s="34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</row>
    <row r="336" spans="1:86" ht="28.8">
      <c r="A336" s="35" t="s">
        <v>243</v>
      </c>
      <c r="B336" s="1"/>
      <c r="C336" s="1"/>
      <c r="D336" s="1" t="s">
        <v>244</v>
      </c>
      <c r="E336" s="2" t="s">
        <v>245</v>
      </c>
      <c r="F336" s="2">
        <v>75</v>
      </c>
      <c r="G336" s="2" t="s">
        <v>246</v>
      </c>
      <c r="H336" s="2">
        <v>112</v>
      </c>
      <c r="I336" s="2">
        <v>514</v>
      </c>
      <c r="J336" s="12">
        <f t="shared" si="89"/>
        <v>514</v>
      </c>
      <c r="K336" s="5">
        <f t="shared" si="90"/>
        <v>6119.0476190476184</v>
      </c>
      <c r="L336" s="2">
        <v>1</v>
      </c>
      <c r="M336" s="37">
        <f t="shared" si="91"/>
        <v>1</v>
      </c>
      <c r="N336" s="2"/>
      <c r="O336" s="32"/>
      <c r="P336" s="32">
        <f>J336-O336</f>
        <v>514</v>
      </c>
      <c r="Q336" s="2"/>
      <c r="R336" s="2"/>
      <c r="S336" s="2"/>
      <c r="T336" s="2"/>
      <c r="U336" s="37">
        <f t="shared" si="92"/>
        <v>1</v>
      </c>
      <c r="V336" s="34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</row>
    <row r="337" spans="1:86" ht="28.8">
      <c r="A337" s="35" t="s">
        <v>243</v>
      </c>
      <c r="B337" s="1"/>
      <c r="C337" s="1"/>
      <c r="D337" s="1" t="s">
        <v>244</v>
      </c>
      <c r="E337" s="2" t="s">
        <v>245</v>
      </c>
      <c r="F337" s="2">
        <v>66</v>
      </c>
      <c r="G337" s="2" t="s">
        <v>246</v>
      </c>
      <c r="H337" s="2">
        <v>105.5</v>
      </c>
      <c r="I337" s="2">
        <v>719</v>
      </c>
      <c r="J337" s="12">
        <f t="shared" si="89"/>
        <v>719</v>
      </c>
      <c r="K337" s="5">
        <f t="shared" si="90"/>
        <v>10326.008904207954</v>
      </c>
      <c r="L337" s="2">
        <v>1</v>
      </c>
      <c r="M337" s="37">
        <f t="shared" si="91"/>
        <v>1</v>
      </c>
      <c r="N337" s="2"/>
      <c r="O337" s="32"/>
      <c r="P337" s="32"/>
      <c r="Q337" s="2"/>
      <c r="R337" s="2"/>
      <c r="S337" s="2"/>
      <c r="T337" s="2"/>
      <c r="U337" s="37">
        <f t="shared" si="92"/>
        <v>1</v>
      </c>
      <c r="V337" s="34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</row>
    <row r="338" spans="1:86" ht="28.8">
      <c r="A338" s="35" t="s">
        <v>243</v>
      </c>
      <c r="B338" s="1"/>
      <c r="C338" s="1"/>
      <c r="D338" s="1" t="s">
        <v>244</v>
      </c>
      <c r="E338" s="2" t="s">
        <v>245</v>
      </c>
      <c r="F338" s="2">
        <v>58</v>
      </c>
      <c r="G338" s="2" t="s">
        <v>246</v>
      </c>
      <c r="H338" s="2">
        <v>111</v>
      </c>
      <c r="I338" s="2">
        <v>878</v>
      </c>
      <c r="J338" s="12">
        <f t="shared" si="89"/>
        <v>878</v>
      </c>
      <c r="K338" s="5">
        <f t="shared" si="90"/>
        <v>13637.775706741222</v>
      </c>
      <c r="L338" s="2">
        <v>1</v>
      </c>
      <c r="M338" s="37">
        <f t="shared" si="91"/>
        <v>1</v>
      </c>
      <c r="N338" s="2"/>
      <c r="O338" s="32"/>
      <c r="P338" s="32"/>
      <c r="Q338" s="2"/>
      <c r="R338" s="2"/>
      <c r="S338" s="2"/>
      <c r="T338" s="2"/>
      <c r="U338" s="37">
        <f t="shared" si="92"/>
        <v>1</v>
      </c>
      <c r="V338" s="34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</row>
    <row r="339" spans="1:86" ht="28.8">
      <c r="A339" s="35" t="s">
        <v>243</v>
      </c>
      <c r="B339" s="1"/>
      <c r="C339" s="1"/>
      <c r="D339" s="1" t="s">
        <v>244</v>
      </c>
      <c r="E339" s="2" t="s">
        <v>245</v>
      </c>
      <c r="F339" s="2">
        <v>70</v>
      </c>
      <c r="G339" s="2" t="s">
        <v>246</v>
      </c>
      <c r="H339" s="2">
        <v>117</v>
      </c>
      <c r="I339" s="2">
        <v>439</v>
      </c>
      <c r="J339" s="12">
        <f t="shared" si="89"/>
        <v>439</v>
      </c>
      <c r="K339" s="5">
        <f t="shared" si="90"/>
        <v>5360.1953601953601</v>
      </c>
      <c r="L339" s="2">
        <v>1</v>
      </c>
      <c r="M339" s="37">
        <f t="shared" si="91"/>
        <v>1</v>
      </c>
      <c r="N339" s="2"/>
      <c r="O339" s="32"/>
      <c r="P339" s="32"/>
      <c r="Q339" s="2"/>
      <c r="R339" s="2"/>
      <c r="S339" s="2"/>
      <c r="T339" s="2"/>
      <c r="U339" s="37">
        <f t="shared" si="92"/>
        <v>1</v>
      </c>
      <c r="V339" s="34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</row>
    <row r="340" spans="1:86" ht="28.8">
      <c r="A340" s="35" t="s">
        <v>243</v>
      </c>
      <c r="B340" s="1"/>
      <c r="C340" s="1"/>
      <c r="D340" s="1" t="s">
        <v>244</v>
      </c>
      <c r="E340" s="2" t="s">
        <v>245</v>
      </c>
      <c r="F340" s="2">
        <v>74</v>
      </c>
      <c r="G340" s="2" t="s">
        <v>246</v>
      </c>
      <c r="H340" s="2">
        <v>108.5</v>
      </c>
      <c r="I340" s="2">
        <v>494</v>
      </c>
      <c r="J340" s="12">
        <f t="shared" si="89"/>
        <v>494</v>
      </c>
      <c r="K340" s="5">
        <f t="shared" si="90"/>
        <v>6152.69647527712</v>
      </c>
      <c r="L340" s="2">
        <v>1</v>
      </c>
      <c r="M340" s="37">
        <f t="shared" si="91"/>
        <v>1</v>
      </c>
      <c r="N340" s="2"/>
      <c r="O340" s="32"/>
      <c r="P340" s="32">
        <f>J340-O340</f>
        <v>494</v>
      </c>
      <c r="Q340" s="2"/>
      <c r="R340" s="2"/>
      <c r="S340" s="2"/>
      <c r="T340" s="2"/>
      <c r="U340" s="37">
        <f t="shared" si="92"/>
        <v>1</v>
      </c>
      <c r="V340" s="34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</row>
    <row r="341" spans="1:86" ht="28.8">
      <c r="A341" s="35" t="s">
        <v>243</v>
      </c>
      <c r="B341" s="1"/>
      <c r="C341" s="1"/>
      <c r="D341" s="1" t="s">
        <v>244</v>
      </c>
      <c r="E341" s="2" t="s">
        <v>245</v>
      </c>
      <c r="F341" s="2">
        <v>62</v>
      </c>
      <c r="G341" s="2" t="s">
        <v>246</v>
      </c>
      <c r="H341" s="2">
        <v>130</v>
      </c>
      <c r="I341" s="2">
        <v>1124</v>
      </c>
      <c r="J341" s="12">
        <f t="shared" si="89"/>
        <v>1124</v>
      </c>
      <c r="K341" s="5">
        <f t="shared" si="90"/>
        <v>13945.409429280397</v>
      </c>
      <c r="L341" s="2">
        <v>1</v>
      </c>
      <c r="M341" s="37">
        <f t="shared" si="91"/>
        <v>1</v>
      </c>
      <c r="N341" s="2"/>
      <c r="O341" s="32"/>
      <c r="P341" s="32"/>
      <c r="Q341" s="2"/>
      <c r="R341" s="2"/>
      <c r="S341" s="2"/>
      <c r="T341" s="2"/>
      <c r="U341" s="37">
        <f t="shared" si="92"/>
        <v>1</v>
      </c>
      <c r="V341" s="34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</row>
    <row r="342" spans="1:86" ht="28.8">
      <c r="A342" s="35" t="s">
        <v>243</v>
      </c>
      <c r="B342" s="1"/>
      <c r="C342" s="1"/>
      <c r="D342" s="1" t="s">
        <v>244</v>
      </c>
      <c r="E342" s="2" t="s">
        <v>245</v>
      </c>
      <c r="F342" s="2">
        <v>58</v>
      </c>
      <c r="G342" s="2" t="s">
        <v>246</v>
      </c>
      <c r="H342" s="2">
        <v>117</v>
      </c>
      <c r="I342" s="2">
        <v>790</v>
      </c>
      <c r="J342" s="12">
        <f t="shared" si="89"/>
        <v>790</v>
      </c>
      <c r="K342" s="5">
        <f t="shared" si="90"/>
        <v>11641.615089890951</v>
      </c>
      <c r="L342" s="2">
        <v>1</v>
      </c>
      <c r="M342" s="37">
        <f t="shared" si="91"/>
        <v>1</v>
      </c>
      <c r="N342" s="2"/>
      <c r="O342" s="32"/>
      <c r="P342" s="32"/>
      <c r="Q342" s="2"/>
      <c r="R342" s="2"/>
      <c r="S342" s="2"/>
      <c r="T342" s="2"/>
      <c r="U342" s="37">
        <f t="shared" si="92"/>
        <v>1</v>
      </c>
      <c r="V342" s="34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</row>
    <row r="343" spans="1:86" ht="28.8">
      <c r="A343" s="35" t="s">
        <v>243</v>
      </c>
      <c r="B343" s="1"/>
      <c r="C343" s="1"/>
      <c r="D343" s="1" t="s">
        <v>244</v>
      </c>
      <c r="E343" s="2" t="s">
        <v>245</v>
      </c>
      <c r="F343" s="2">
        <v>60</v>
      </c>
      <c r="G343" s="2" t="s">
        <v>246</v>
      </c>
      <c r="H343" s="2">
        <v>105</v>
      </c>
      <c r="I343" s="2">
        <v>985</v>
      </c>
      <c r="J343" s="12">
        <f t="shared" si="89"/>
        <v>985</v>
      </c>
      <c r="K343" s="5">
        <f t="shared" si="90"/>
        <v>15634.920634920634</v>
      </c>
      <c r="L343" s="2">
        <v>1</v>
      </c>
      <c r="M343" s="37">
        <f t="shared" si="91"/>
        <v>1</v>
      </c>
      <c r="N343" s="2"/>
      <c r="O343" s="32"/>
      <c r="P343" s="32"/>
      <c r="Q343" s="2"/>
      <c r="R343" s="2"/>
      <c r="S343" s="2"/>
      <c r="T343" s="2"/>
      <c r="U343" s="37">
        <f t="shared" si="92"/>
        <v>1</v>
      </c>
      <c r="V343" s="34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</row>
    <row r="344" spans="1:86" ht="28.8">
      <c r="A344" s="35" t="s">
        <v>243</v>
      </c>
      <c r="B344" s="1"/>
      <c r="C344" s="1"/>
      <c r="D344" s="1" t="s">
        <v>244</v>
      </c>
      <c r="E344" s="2" t="s">
        <v>245</v>
      </c>
      <c r="F344" s="2">
        <v>57</v>
      </c>
      <c r="G344" s="2" t="s">
        <v>246</v>
      </c>
      <c r="H344" s="2">
        <v>118</v>
      </c>
      <c r="I344" s="2">
        <v>1173</v>
      </c>
      <c r="J344" s="12">
        <f t="shared" si="89"/>
        <v>1173</v>
      </c>
      <c r="K344" s="5">
        <f t="shared" si="90"/>
        <v>17439.785905441571</v>
      </c>
      <c r="L344" s="2">
        <v>1</v>
      </c>
      <c r="M344" s="37">
        <f t="shared" si="91"/>
        <v>1</v>
      </c>
      <c r="N344" s="2"/>
      <c r="O344" s="32"/>
      <c r="P344" s="32"/>
      <c r="Q344" s="2"/>
      <c r="R344" s="2"/>
      <c r="S344" s="2"/>
      <c r="T344" s="2"/>
      <c r="U344" s="37">
        <f t="shared" si="92"/>
        <v>1</v>
      </c>
      <c r="V344" s="34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</row>
    <row r="345" spans="1:86" ht="28.8">
      <c r="A345" s="35" t="s">
        <v>243</v>
      </c>
      <c r="B345" s="1"/>
      <c r="C345" s="1"/>
      <c r="D345" s="1" t="s">
        <v>244</v>
      </c>
      <c r="E345" s="2" t="s">
        <v>245</v>
      </c>
      <c r="F345" s="2">
        <v>59</v>
      </c>
      <c r="G345" s="2" t="s">
        <v>246</v>
      </c>
      <c r="H345" s="2">
        <v>106</v>
      </c>
      <c r="I345" s="2">
        <v>1185</v>
      </c>
      <c r="J345" s="12">
        <f t="shared" si="89"/>
        <v>1185</v>
      </c>
      <c r="K345" s="5">
        <f t="shared" si="90"/>
        <v>18947.873361048929</v>
      </c>
      <c r="L345" s="2">
        <v>1</v>
      </c>
      <c r="M345" s="37">
        <f t="shared" si="91"/>
        <v>1</v>
      </c>
      <c r="N345" s="2"/>
      <c r="O345" s="32"/>
      <c r="P345" s="32"/>
      <c r="Q345" s="2"/>
      <c r="R345" s="2"/>
      <c r="S345" s="2"/>
      <c r="T345" s="2"/>
      <c r="U345" s="37">
        <f t="shared" si="92"/>
        <v>1</v>
      </c>
      <c r="V345" s="34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</row>
    <row r="346" spans="1:86" ht="28.8">
      <c r="A346" s="35" t="s">
        <v>243</v>
      </c>
      <c r="B346" s="1"/>
      <c r="C346" s="1"/>
      <c r="D346" s="1" t="s">
        <v>244</v>
      </c>
      <c r="E346" s="2" t="s">
        <v>245</v>
      </c>
      <c r="F346" s="2">
        <v>61</v>
      </c>
      <c r="G346" s="2" t="s">
        <v>246</v>
      </c>
      <c r="H346" s="2">
        <v>105</v>
      </c>
      <c r="I346" s="2">
        <v>1170</v>
      </c>
      <c r="J346" s="12">
        <f t="shared" si="89"/>
        <v>1170</v>
      </c>
      <c r="K346" s="5">
        <f t="shared" si="90"/>
        <v>18266.978922716626</v>
      </c>
      <c r="L346" s="2">
        <v>1</v>
      </c>
      <c r="M346" s="37">
        <f t="shared" si="91"/>
        <v>1</v>
      </c>
      <c r="N346" s="2"/>
      <c r="O346" s="32"/>
      <c r="P346" s="32"/>
      <c r="Q346" s="2"/>
      <c r="R346" s="2"/>
      <c r="S346" s="2"/>
      <c r="T346" s="2"/>
      <c r="U346" s="37">
        <f t="shared" si="92"/>
        <v>1</v>
      </c>
      <c r="V346" s="34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</row>
    <row r="347" spans="1:86" ht="28.8">
      <c r="A347" s="35" t="s">
        <v>243</v>
      </c>
      <c r="B347" s="1"/>
      <c r="C347" s="1"/>
      <c r="D347" s="1" t="s">
        <v>244</v>
      </c>
      <c r="E347" s="2" t="s">
        <v>245</v>
      </c>
      <c r="F347" s="2">
        <v>60</v>
      </c>
      <c r="G347" s="2" t="s">
        <v>246</v>
      </c>
      <c r="H347" s="2">
        <v>105</v>
      </c>
      <c r="I347" s="2">
        <v>1001</v>
      </c>
      <c r="J347" s="12">
        <f t="shared" si="89"/>
        <v>1001</v>
      </c>
      <c r="K347" s="5">
        <f t="shared" si="90"/>
        <v>15888.888888888889</v>
      </c>
      <c r="L347" s="2">
        <v>1</v>
      </c>
      <c r="M347" s="37">
        <f t="shared" si="91"/>
        <v>1</v>
      </c>
      <c r="N347" s="2"/>
      <c r="O347" s="32"/>
      <c r="P347" s="32"/>
      <c r="Q347" s="2"/>
      <c r="R347" s="2"/>
      <c r="S347" s="2"/>
      <c r="T347" s="2"/>
      <c r="U347" s="37">
        <f t="shared" si="92"/>
        <v>1</v>
      </c>
      <c r="V347" s="34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</row>
    <row r="348" spans="1:86" ht="28.8">
      <c r="A348" s="35" t="s">
        <v>243</v>
      </c>
      <c r="B348" s="1"/>
      <c r="C348" s="1"/>
      <c r="D348" s="1" t="s">
        <v>244</v>
      </c>
      <c r="E348" s="2" t="s">
        <v>245</v>
      </c>
      <c r="F348" s="2">
        <v>62</v>
      </c>
      <c r="G348" s="2" t="s">
        <v>246</v>
      </c>
      <c r="H348" s="2">
        <v>113</v>
      </c>
      <c r="I348" s="2">
        <v>1273</v>
      </c>
      <c r="J348" s="12">
        <f t="shared" si="89"/>
        <v>1273</v>
      </c>
      <c r="K348" s="5">
        <f t="shared" si="90"/>
        <v>18170.139880102764</v>
      </c>
      <c r="L348" s="2">
        <v>1</v>
      </c>
      <c r="M348" s="37">
        <f t="shared" si="91"/>
        <v>1</v>
      </c>
      <c r="N348" s="2"/>
      <c r="O348" s="32"/>
      <c r="P348" s="32"/>
      <c r="Q348" s="2"/>
      <c r="R348" s="2"/>
      <c r="S348" s="2"/>
      <c r="T348" s="2"/>
      <c r="U348" s="37">
        <f t="shared" si="92"/>
        <v>1</v>
      </c>
      <c r="V348" s="34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</row>
    <row r="349" spans="1:86" ht="28.8">
      <c r="A349" s="35" t="s">
        <v>243</v>
      </c>
      <c r="B349" s="1"/>
      <c r="C349" s="1"/>
      <c r="D349" s="1" t="s">
        <v>244</v>
      </c>
      <c r="E349" s="2" t="s">
        <v>245</v>
      </c>
      <c r="F349" s="2">
        <v>56</v>
      </c>
      <c r="G349" s="2" t="s">
        <v>246</v>
      </c>
      <c r="H349" s="2">
        <v>97</v>
      </c>
      <c r="I349" s="2">
        <v>1081</v>
      </c>
      <c r="J349" s="12">
        <f t="shared" si="89"/>
        <v>1081</v>
      </c>
      <c r="K349" s="5">
        <f t="shared" si="90"/>
        <v>19900.589101620026</v>
      </c>
      <c r="L349" s="2">
        <v>1</v>
      </c>
      <c r="M349" s="37">
        <f t="shared" si="91"/>
        <v>1</v>
      </c>
      <c r="N349" s="2"/>
      <c r="O349" s="32"/>
      <c r="P349" s="32"/>
      <c r="Q349" s="2"/>
      <c r="R349" s="2"/>
      <c r="S349" s="2"/>
      <c r="T349" s="2"/>
      <c r="U349" s="37">
        <f t="shared" si="92"/>
        <v>1</v>
      </c>
      <c r="V349" s="34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</row>
    <row r="350" spans="1:86" ht="28.8">
      <c r="A350" s="35" t="s">
        <v>243</v>
      </c>
      <c r="B350" s="1"/>
      <c r="C350" s="1"/>
      <c r="D350" s="1" t="s">
        <v>244</v>
      </c>
      <c r="E350" s="2" t="s">
        <v>245</v>
      </c>
      <c r="F350" s="2">
        <v>66</v>
      </c>
      <c r="G350" s="2" t="s">
        <v>246</v>
      </c>
      <c r="H350" s="2">
        <v>105</v>
      </c>
      <c r="I350" s="2">
        <v>714</v>
      </c>
      <c r="J350" s="12">
        <f t="shared" si="89"/>
        <v>714</v>
      </c>
      <c r="K350" s="5">
        <f t="shared" si="90"/>
        <v>10303.030303030302</v>
      </c>
      <c r="L350" s="2">
        <v>1</v>
      </c>
      <c r="M350" s="37">
        <f t="shared" si="91"/>
        <v>1</v>
      </c>
      <c r="N350" s="2"/>
      <c r="O350" s="32"/>
      <c r="P350" s="32"/>
      <c r="Q350" s="2"/>
      <c r="R350" s="2"/>
      <c r="S350" s="2"/>
      <c r="T350" s="2"/>
      <c r="U350" s="37">
        <f t="shared" si="92"/>
        <v>1</v>
      </c>
      <c r="V350" s="34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</row>
    <row r="351" spans="1:86" ht="28.8">
      <c r="A351" s="35" t="s">
        <v>243</v>
      </c>
      <c r="B351" s="1"/>
      <c r="C351" s="1"/>
      <c r="D351" s="1" t="s">
        <v>244</v>
      </c>
      <c r="E351" s="2" t="s">
        <v>245</v>
      </c>
      <c r="F351" s="2">
        <v>60</v>
      </c>
      <c r="G351" s="2" t="s">
        <v>246</v>
      </c>
      <c r="H351" s="2">
        <v>118</v>
      </c>
      <c r="I351" s="2">
        <v>1327</v>
      </c>
      <c r="J351" s="12">
        <f t="shared" ref="J351:J370" si="93">IFERROR(IF(AND(V351=3,U351&gt;0),I351,I351*U351),"Verify")</f>
        <v>1327</v>
      </c>
      <c r="K351" s="5">
        <f t="shared" ref="K351:K370" si="94">+J351/(F351*H351*10^-5)</f>
        <v>18742.937853107345</v>
      </c>
      <c r="L351" s="2">
        <v>1</v>
      </c>
      <c r="M351" s="37">
        <f t="shared" ref="M351:M370" si="95">+L351-X351-Z351-AD351-AB351-AF351-AH351-AJ351-AL351-AO351-AQ351-AS351-AU351-AW351-AY351-BA351-BC351-BE351-BG351-BI351-BK351-BM351-BO351-BQ351-BS351-BU351-BW351-BY351-CA351-CC351-CE351-CG351</f>
        <v>1</v>
      </c>
      <c r="N351" s="2"/>
      <c r="O351" s="32"/>
      <c r="P351" s="32"/>
      <c r="Q351" s="2"/>
      <c r="R351" s="2"/>
      <c r="S351" s="2"/>
      <c r="T351" s="2"/>
      <c r="U351" s="37">
        <f t="shared" si="92"/>
        <v>1</v>
      </c>
      <c r="V351" s="34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</row>
    <row r="352" spans="1:86" ht="28.8">
      <c r="A352" s="35" t="s">
        <v>243</v>
      </c>
      <c r="B352" s="1"/>
      <c r="C352" s="1"/>
      <c r="D352" s="1" t="s">
        <v>244</v>
      </c>
      <c r="E352" s="2" t="s">
        <v>245</v>
      </c>
      <c r="F352" s="2">
        <v>60</v>
      </c>
      <c r="G352" s="2" t="s">
        <v>246</v>
      </c>
      <c r="H352" s="2">
        <v>130</v>
      </c>
      <c r="I352" s="2">
        <v>705</v>
      </c>
      <c r="J352" s="12">
        <f t="shared" si="93"/>
        <v>705</v>
      </c>
      <c r="K352" s="5">
        <f t="shared" si="94"/>
        <v>9038.461538461539</v>
      </c>
      <c r="L352" s="2">
        <v>1</v>
      </c>
      <c r="M352" s="37">
        <f t="shared" si="95"/>
        <v>1</v>
      </c>
      <c r="N352" s="2"/>
      <c r="O352" s="32"/>
      <c r="P352" s="32"/>
      <c r="Q352" s="2"/>
      <c r="R352" s="2"/>
      <c r="S352" s="2"/>
      <c r="T352" s="2"/>
      <c r="U352" s="37">
        <f t="shared" si="92"/>
        <v>1</v>
      </c>
      <c r="V352" s="34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</row>
    <row r="353" spans="1:86" ht="28.8">
      <c r="A353" s="35" t="s">
        <v>243</v>
      </c>
      <c r="B353" s="1"/>
      <c r="C353" s="1"/>
      <c r="D353" s="1" t="s">
        <v>244</v>
      </c>
      <c r="E353" s="2" t="s">
        <v>245</v>
      </c>
      <c r="F353" s="2">
        <v>60</v>
      </c>
      <c r="G353" s="2" t="s">
        <v>246</v>
      </c>
      <c r="H353" s="2">
        <v>120</v>
      </c>
      <c r="I353" s="2">
        <v>1390</v>
      </c>
      <c r="J353" s="12">
        <f t="shared" si="93"/>
        <v>1390</v>
      </c>
      <c r="K353" s="5">
        <f t="shared" si="94"/>
        <v>19305.555555555555</v>
      </c>
      <c r="L353" s="2">
        <v>1</v>
      </c>
      <c r="M353" s="37">
        <f t="shared" si="95"/>
        <v>1</v>
      </c>
      <c r="N353" s="2"/>
      <c r="O353" s="32"/>
      <c r="P353" s="32"/>
      <c r="Q353" s="2"/>
      <c r="R353" s="2"/>
      <c r="S353" s="2"/>
      <c r="T353" s="2"/>
      <c r="U353" s="37">
        <f t="shared" si="92"/>
        <v>1</v>
      </c>
      <c r="V353" s="34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</row>
    <row r="354" spans="1:86" ht="28.8">
      <c r="A354" s="35" t="s">
        <v>243</v>
      </c>
      <c r="B354" s="1"/>
      <c r="C354" s="1"/>
      <c r="D354" s="1" t="s">
        <v>244</v>
      </c>
      <c r="E354" s="2" t="s">
        <v>245</v>
      </c>
      <c r="F354" s="2">
        <v>59</v>
      </c>
      <c r="G354" s="2" t="s">
        <v>246</v>
      </c>
      <c r="H354" s="2">
        <v>122</v>
      </c>
      <c r="I354" s="2">
        <v>1111</v>
      </c>
      <c r="J354" s="12">
        <f t="shared" si="93"/>
        <v>1111</v>
      </c>
      <c r="K354" s="5">
        <f t="shared" si="94"/>
        <v>15434.843011947763</v>
      </c>
      <c r="L354" s="2">
        <v>1</v>
      </c>
      <c r="M354" s="37">
        <f t="shared" si="95"/>
        <v>1</v>
      </c>
      <c r="N354" s="2"/>
      <c r="O354" s="32"/>
      <c r="P354" s="32"/>
      <c r="Q354" s="2"/>
      <c r="R354" s="2"/>
      <c r="S354" s="2"/>
      <c r="T354" s="2"/>
      <c r="U354" s="37">
        <f t="shared" si="92"/>
        <v>1</v>
      </c>
      <c r="V354" s="34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</row>
    <row r="355" spans="1:86" ht="28.8">
      <c r="A355" s="35" t="s">
        <v>243</v>
      </c>
      <c r="B355" s="1"/>
      <c r="C355" s="1"/>
      <c r="D355" s="1" t="s">
        <v>244</v>
      </c>
      <c r="E355" s="2" t="s">
        <v>245</v>
      </c>
      <c r="F355" s="2">
        <v>58</v>
      </c>
      <c r="G355" s="2" t="s">
        <v>246</v>
      </c>
      <c r="H355" s="2">
        <v>118</v>
      </c>
      <c r="I355" s="2">
        <v>1338</v>
      </c>
      <c r="J355" s="12">
        <f t="shared" si="93"/>
        <v>1338</v>
      </c>
      <c r="K355" s="5">
        <f t="shared" si="94"/>
        <v>19549.970777323204</v>
      </c>
      <c r="L355" s="2">
        <v>1</v>
      </c>
      <c r="M355" s="37">
        <f t="shared" si="95"/>
        <v>1</v>
      </c>
      <c r="N355" s="2"/>
      <c r="O355" s="32"/>
      <c r="P355" s="32"/>
      <c r="Q355" s="2"/>
      <c r="R355" s="2"/>
      <c r="S355" s="2"/>
      <c r="T355" s="2"/>
      <c r="U355" s="37">
        <f t="shared" si="92"/>
        <v>1</v>
      </c>
      <c r="V355" s="34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</row>
    <row r="356" spans="1:86" ht="28.8">
      <c r="A356" s="35" t="s">
        <v>243</v>
      </c>
      <c r="B356" s="1" t="s">
        <v>251</v>
      </c>
      <c r="C356" s="1" t="s">
        <v>251</v>
      </c>
      <c r="D356" s="1" t="s">
        <v>244</v>
      </c>
      <c r="E356" s="2" t="s">
        <v>245</v>
      </c>
      <c r="F356" s="2">
        <v>92</v>
      </c>
      <c r="G356" s="2" t="s">
        <v>246</v>
      </c>
      <c r="H356" s="2">
        <v>36.5</v>
      </c>
      <c r="I356" s="2">
        <v>370</v>
      </c>
      <c r="J356" s="12">
        <f t="shared" si="93"/>
        <v>370</v>
      </c>
      <c r="K356" s="5">
        <f t="shared" si="94"/>
        <v>11018.463371054197</v>
      </c>
      <c r="L356" s="2">
        <v>1</v>
      </c>
      <c r="M356" s="37">
        <f t="shared" si="95"/>
        <v>1</v>
      </c>
      <c r="N356" s="2"/>
      <c r="O356" s="32"/>
      <c r="P356" s="32"/>
      <c r="Q356" s="2"/>
      <c r="R356" s="2"/>
      <c r="S356" s="2"/>
      <c r="T356" s="2"/>
      <c r="U356" s="37">
        <f t="shared" si="92"/>
        <v>1</v>
      </c>
      <c r="V356" s="34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</row>
    <row r="357" spans="1:86" ht="28.8">
      <c r="A357" s="35" t="s">
        <v>243</v>
      </c>
      <c r="B357" s="1" t="s">
        <v>252</v>
      </c>
      <c r="C357" s="1" t="s">
        <v>252</v>
      </c>
      <c r="D357" s="1" t="s">
        <v>244</v>
      </c>
      <c r="E357" s="2" t="s">
        <v>245</v>
      </c>
      <c r="F357" s="2">
        <v>93</v>
      </c>
      <c r="G357" s="2" t="s">
        <v>246</v>
      </c>
      <c r="H357" s="2">
        <v>36.5</v>
      </c>
      <c r="I357" s="2">
        <v>368</v>
      </c>
      <c r="J357" s="12">
        <f t="shared" si="93"/>
        <v>368</v>
      </c>
      <c r="K357" s="5">
        <f t="shared" si="94"/>
        <v>10841.066430991308</v>
      </c>
      <c r="L357" s="2">
        <v>1</v>
      </c>
      <c r="M357" s="37">
        <f t="shared" si="95"/>
        <v>1</v>
      </c>
      <c r="N357" s="2"/>
      <c r="O357" s="32"/>
      <c r="P357" s="32"/>
      <c r="Q357" s="2"/>
      <c r="R357" s="2"/>
      <c r="S357" s="2"/>
      <c r="T357" s="2"/>
      <c r="U357" s="37">
        <f t="shared" si="92"/>
        <v>1</v>
      </c>
      <c r="V357" s="34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</row>
    <row r="358" spans="1:86" ht="28.8">
      <c r="A358" s="35" t="s">
        <v>243</v>
      </c>
      <c r="B358" s="1"/>
      <c r="C358" s="1"/>
      <c r="D358" s="1" t="s">
        <v>244</v>
      </c>
      <c r="E358" s="2" t="s">
        <v>245</v>
      </c>
      <c r="F358" s="2">
        <v>97</v>
      </c>
      <c r="G358" s="2" t="s">
        <v>246</v>
      </c>
      <c r="H358" s="2">
        <v>36</v>
      </c>
      <c r="I358" s="2">
        <v>366</v>
      </c>
      <c r="J358" s="12">
        <f t="shared" si="93"/>
        <v>366</v>
      </c>
      <c r="K358" s="5">
        <f t="shared" si="94"/>
        <v>10481.099656357388</v>
      </c>
      <c r="L358" s="2">
        <v>1</v>
      </c>
      <c r="M358" s="37">
        <f t="shared" si="95"/>
        <v>1</v>
      </c>
      <c r="N358" s="2"/>
      <c r="O358" s="32"/>
      <c r="P358" s="32"/>
      <c r="Q358" s="2"/>
      <c r="R358" s="2"/>
      <c r="S358" s="2"/>
      <c r="T358" s="2"/>
      <c r="U358" s="37">
        <f t="shared" si="92"/>
        <v>1</v>
      </c>
      <c r="V358" s="34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</row>
    <row r="359" spans="1:86" ht="28.8">
      <c r="A359" s="35" t="s">
        <v>243</v>
      </c>
      <c r="B359" s="1"/>
      <c r="C359" s="1"/>
      <c r="D359" s="1" t="s">
        <v>244</v>
      </c>
      <c r="E359" s="2" t="s">
        <v>245</v>
      </c>
      <c r="F359" s="2">
        <v>94</v>
      </c>
      <c r="G359" s="2" t="s">
        <v>246</v>
      </c>
      <c r="H359" s="2">
        <v>36</v>
      </c>
      <c r="I359" s="2">
        <v>366</v>
      </c>
      <c r="J359" s="12">
        <f t="shared" si="93"/>
        <v>366</v>
      </c>
      <c r="K359" s="5">
        <f t="shared" si="94"/>
        <v>10815.602836879432</v>
      </c>
      <c r="L359" s="2">
        <v>1</v>
      </c>
      <c r="M359" s="37">
        <f t="shared" si="95"/>
        <v>1</v>
      </c>
      <c r="N359" s="2"/>
      <c r="O359" s="32"/>
      <c r="P359" s="32"/>
      <c r="Q359" s="2"/>
      <c r="R359" s="2"/>
      <c r="S359" s="2"/>
      <c r="T359" s="2"/>
      <c r="U359" s="37">
        <f t="shared" si="92"/>
        <v>1</v>
      </c>
      <c r="V359" s="34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</row>
    <row r="360" spans="1:86" ht="28.8">
      <c r="A360" s="35" t="s">
        <v>243</v>
      </c>
      <c r="B360" s="1"/>
      <c r="C360" s="1"/>
      <c r="D360" s="1" t="s">
        <v>244</v>
      </c>
      <c r="E360" s="2" t="s">
        <v>245</v>
      </c>
      <c r="F360" s="2">
        <v>67</v>
      </c>
      <c r="G360" s="2" t="s">
        <v>246</v>
      </c>
      <c r="H360" s="2">
        <v>105</v>
      </c>
      <c r="I360" s="2">
        <v>1000</v>
      </c>
      <c r="J360" s="12">
        <f t="shared" si="93"/>
        <v>1000</v>
      </c>
      <c r="K360" s="5">
        <f t="shared" si="94"/>
        <v>14214.64108031272</v>
      </c>
      <c r="L360" s="2">
        <v>1</v>
      </c>
      <c r="M360" s="37">
        <f t="shared" si="95"/>
        <v>1</v>
      </c>
      <c r="N360" s="2"/>
      <c r="O360" s="32"/>
      <c r="P360" s="32"/>
      <c r="Q360" s="2"/>
      <c r="R360" s="2"/>
      <c r="S360" s="2"/>
      <c r="T360" s="2"/>
      <c r="U360" s="37">
        <f t="shared" si="92"/>
        <v>1</v>
      </c>
      <c r="V360" s="34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</row>
    <row r="361" spans="1:86" ht="28.8">
      <c r="A361" s="35" t="s">
        <v>243</v>
      </c>
      <c r="B361" s="1"/>
      <c r="C361" s="1" t="s">
        <v>249</v>
      </c>
      <c r="D361" s="1" t="s">
        <v>244</v>
      </c>
      <c r="E361" s="2" t="s">
        <v>245</v>
      </c>
      <c r="F361" s="2">
        <v>50</v>
      </c>
      <c r="G361" s="2" t="s">
        <v>246</v>
      </c>
      <c r="H361" s="2">
        <v>105</v>
      </c>
      <c r="I361" s="2">
        <v>929</v>
      </c>
      <c r="J361" s="12">
        <f t="shared" si="93"/>
        <v>929</v>
      </c>
      <c r="K361" s="5">
        <f t="shared" si="94"/>
        <v>17695.238095238092</v>
      </c>
      <c r="L361" s="2">
        <v>1</v>
      </c>
      <c r="M361" s="37">
        <f t="shared" si="95"/>
        <v>1</v>
      </c>
      <c r="N361" s="2"/>
      <c r="O361" s="32"/>
      <c r="P361" s="32"/>
      <c r="Q361" s="2"/>
      <c r="R361" s="2"/>
      <c r="S361" s="2"/>
      <c r="T361" s="2"/>
      <c r="U361" s="37">
        <f t="shared" si="92"/>
        <v>1</v>
      </c>
      <c r="V361" s="34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</row>
    <row r="362" spans="1:86" ht="28.8">
      <c r="A362" s="35" t="s">
        <v>243</v>
      </c>
      <c r="B362" s="1"/>
      <c r="C362" s="1"/>
      <c r="D362" s="1" t="s">
        <v>244</v>
      </c>
      <c r="E362" s="2" t="s">
        <v>245</v>
      </c>
      <c r="F362" s="2">
        <v>51</v>
      </c>
      <c r="G362" s="2" t="s">
        <v>246</v>
      </c>
      <c r="H362" s="2">
        <v>107</v>
      </c>
      <c r="I362" s="2">
        <v>935</v>
      </c>
      <c r="J362" s="12">
        <f t="shared" si="93"/>
        <v>935</v>
      </c>
      <c r="K362" s="5">
        <f t="shared" si="94"/>
        <v>17133.956386292833</v>
      </c>
      <c r="L362" s="2">
        <v>1</v>
      </c>
      <c r="M362" s="37">
        <f t="shared" si="95"/>
        <v>1</v>
      </c>
      <c r="N362" s="2"/>
      <c r="O362" s="32"/>
      <c r="P362" s="32"/>
      <c r="Q362" s="2"/>
      <c r="R362" s="2"/>
      <c r="S362" s="2"/>
      <c r="T362" s="2"/>
      <c r="U362" s="37">
        <f t="shared" si="92"/>
        <v>1</v>
      </c>
      <c r="V362" s="34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</row>
    <row r="363" spans="1:86" ht="28.8">
      <c r="A363" s="35" t="s">
        <v>243</v>
      </c>
      <c r="B363" s="1" t="s">
        <v>253</v>
      </c>
      <c r="C363" s="1" t="s">
        <v>253</v>
      </c>
      <c r="D363" s="1" t="s">
        <v>244</v>
      </c>
      <c r="E363" s="2" t="s">
        <v>245</v>
      </c>
      <c r="F363" s="2">
        <v>91</v>
      </c>
      <c r="G363" s="2" t="s">
        <v>246</v>
      </c>
      <c r="H363" s="2">
        <v>36</v>
      </c>
      <c r="I363" s="2">
        <v>364</v>
      </c>
      <c r="J363" s="12">
        <f t="shared" si="93"/>
        <v>364</v>
      </c>
      <c r="K363" s="5">
        <f t="shared" si="94"/>
        <v>11111.111111111109</v>
      </c>
      <c r="L363" s="2">
        <v>1</v>
      </c>
      <c r="M363" s="37">
        <f t="shared" si="95"/>
        <v>1</v>
      </c>
      <c r="N363" s="2"/>
      <c r="O363" s="32"/>
      <c r="P363" s="32"/>
      <c r="Q363" s="2"/>
      <c r="R363" s="2"/>
      <c r="S363" s="2"/>
      <c r="T363" s="2"/>
      <c r="U363" s="37">
        <f t="shared" si="92"/>
        <v>1</v>
      </c>
      <c r="V363" s="34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</row>
    <row r="364" spans="1:86" ht="28.8">
      <c r="A364" s="35" t="s">
        <v>243</v>
      </c>
      <c r="B364" s="1" t="s">
        <v>254</v>
      </c>
      <c r="C364" s="1" t="s">
        <v>254</v>
      </c>
      <c r="D364" s="1" t="s">
        <v>244</v>
      </c>
      <c r="E364" s="2" t="s">
        <v>245</v>
      </c>
      <c r="F364" s="2">
        <v>90</v>
      </c>
      <c r="G364" s="2" t="s">
        <v>246</v>
      </c>
      <c r="H364" s="2">
        <v>37</v>
      </c>
      <c r="I364" s="2">
        <v>377</v>
      </c>
      <c r="J364" s="12">
        <f t="shared" si="93"/>
        <v>377</v>
      </c>
      <c r="K364" s="5">
        <f t="shared" si="94"/>
        <v>11321.32132132132</v>
      </c>
      <c r="L364" s="2">
        <v>1</v>
      </c>
      <c r="M364" s="37">
        <f t="shared" si="95"/>
        <v>1</v>
      </c>
      <c r="N364" s="2"/>
      <c r="O364" s="32"/>
      <c r="P364" s="32"/>
      <c r="Q364" s="2"/>
      <c r="R364" s="2"/>
      <c r="S364" s="2"/>
      <c r="T364" s="2"/>
      <c r="U364" s="37">
        <f t="shared" si="92"/>
        <v>1</v>
      </c>
      <c r="V364" s="34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</row>
    <row r="365" spans="1:86" ht="28.8">
      <c r="A365" s="35" t="s">
        <v>243</v>
      </c>
      <c r="B365" s="1"/>
      <c r="C365" s="1"/>
      <c r="D365" s="1" t="s">
        <v>244</v>
      </c>
      <c r="E365" s="2" t="s">
        <v>245</v>
      </c>
      <c r="F365" s="2">
        <v>67</v>
      </c>
      <c r="G365" s="2" t="s">
        <v>246</v>
      </c>
      <c r="H365" s="2">
        <v>102</v>
      </c>
      <c r="I365" s="2">
        <v>965</v>
      </c>
      <c r="J365" s="12">
        <f t="shared" si="93"/>
        <v>965</v>
      </c>
      <c r="K365" s="5">
        <f t="shared" si="94"/>
        <v>14120.573602575356</v>
      </c>
      <c r="L365" s="2">
        <v>1</v>
      </c>
      <c r="M365" s="37">
        <f t="shared" si="95"/>
        <v>1</v>
      </c>
      <c r="N365" s="2"/>
      <c r="O365" s="32"/>
      <c r="P365" s="32"/>
      <c r="Q365" s="2"/>
      <c r="R365" s="2"/>
      <c r="S365" s="2"/>
      <c r="T365" s="2"/>
      <c r="U365" s="37">
        <f t="shared" si="92"/>
        <v>1</v>
      </c>
      <c r="V365" s="34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</row>
    <row r="366" spans="1:86" ht="28.8">
      <c r="A366" s="35" t="s">
        <v>243</v>
      </c>
      <c r="B366" s="1" t="s">
        <v>253</v>
      </c>
      <c r="C366" s="1" t="s">
        <v>253</v>
      </c>
      <c r="D366" s="1" t="s">
        <v>244</v>
      </c>
      <c r="E366" s="2" t="s">
        <v>245</v>
      </c>
      <c r="F366" s="2">
        <v>91</v>
      </c>
      <c r="G366" s="2" t="s">
        <v>246</v>
      </c>
      <c r="H366" s="2">
        <v>36</v>
      </c>
      <c r="I366" s="2">
        <v>367</v>
      </c>
      <c r="J366" s="12">
        <f t="shared" si="93"/>
        <v>367</v>
      </c>
      <c r="K366" s="5">
        <f t="shared" si="94"/>
        <v>11202.686202686202</v>
      </c>
      <c r="L366" s="2">
        <v>1</v>
      </c>
      <c r="M366" s="37">
        <f t="shared" si="95"/>
        <v>1</v>
      </c>
      <c r="N366" s="2"/>
      <c r="O366" s="32"/>
      <c r="P366" s="32"/>
      <c r="Q366" s="2"/>
      <c r="R366" s="2"/>
      <c r="S366" s="2"/>
      <c r="T366" s="2"/>
      <c r="U366" s="37">
        <f t="shared" si="92"/>
        <v>1</v>
      </c>
      <c r="V366" s="34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</row>
    <row r="367" spans="1:86" ht="28.8">
      <c r="A367" s="35" t="s">
        <v>243</v>
      </c>
      <c r="B367" s="1"/>
      <c r="C367" s="1"/>
      <c r="D367" s="1" t="s">
        <v>244</v>
      </c>
      <c r="E367" s="2" t="s">
        <v>245</v>
      </c>
      <c r="F367" s="2">
        <v>62</v>
      </c>
      <c r="G367" s="2" t="s">
        <v>246</v>
      </c>
      <c r="H367" s="2">
        <v>112</v>
      </c>
      <c r="I367" s="2">
        <v>599</v>
      </c>
      <c r="J367" s="12">
        <f t="shared" si="93"/>
        <v>599</v>
      </c>
      <c r="K367" s="5">
        <f t="shared" si="94"/>
        <v>8626.1520737327191</v>
      </c>
      <c r="L367" s="2">
        <v>1</v>
      </c>
      <c r="M367" s="37">
        <f t="shared" si="95"/>
        <v>1</v>
      </c>
      <c r="N367" s="2"/>
      <c r="O367" s="32"/>
      <c r="P367" s="32"/>
      <c r="Q367" s="2"/>
      <c r="R367" s="2"/>
      <c r="S367" s="2"/>
      <c r="T367" s="2"/>
      <c r="U367" s="37">
        <f t="shared" si="92"/>
        <v>1</v>
      </c>
      <c r="V367" s="34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</row>
    <row r="368" spans="1:86" ht="28.8">
      <c r="A368" s="35" t="s">
        <v>243</v>
      </c>
      <c r="B368" s="1"/>
      <c r="C368" s="1"/>
      <c r="D368" s="1" t="s">
        <v>244</v>
      </c>
      <c r="E368" s="2" t="s">
        <v>245</v>
      </c>
      <c r="F368" s="2">
        <v>61</v>
      </c>
      <c r="G368" s="2" t="s">
        <v>246</v>
      </c>
      <c r="H368" s="2">
        <v>122</v>
      </c>
      <c r="I368" s="2">
        <v>1148</v>
      </c>
      <c r="J368" s="12">
        <f t="shared" si="93"/>
        <v>1148</v>
      </c>
      <c r="K368" s="5">
        <f t="shared" si="94"/>
        <v>15425.960763235689</v>
      </c>
      <c r="L368" s="2">
        <v>1</v>
      </c>
      <c r="M368" s="37">
        <f t="shared" si="95"/>
        <v>1</v>
      </c>
      <c r="N368" s="2"/>
      <c r="O368" s="32"/>
      <c r="P368" s="32"/>
      <c r="Q368" s="2"/>
      <c r="R368" s="2"/>
      <c r="S368" s="2"/>
      <c r="T368" s="2"/>
      <c r="U368" s="37">
        <f t="shared" si="92"/>
        <v>1</v>
      </c>
      <c r="V368" s="34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</row>
    <row r="369" spans="1:86" ht="28.8">
      <c r="A369" s="35" t="s">
        <v>243</v>
      </c>
      <c r="B369" s="1"/>
      <c r="C369" s="1"/>
      <c r="D369" s="1" t="s">
        <v>244</v>
      </c>
      <c r="E369" s="2" t="s">
        <v>245</v>
      </c>
      <c r="F369" s="2">
        <v>59</v>
      </c>
      <c r="G369" s="2" t="s">
        <v>246</v>
      </c>
      <c r="H369" s="2">
        <v>121</v>
      </c>
      <c r="I369" s="2">
        <v>896</v>
      </c>
      <c r="J369" s="12">
        <f t="shared" si="93"/>
        <v>896</v>
      </c>
      <c r="K369" s="5">
        <f t="shared" si="94"/>
        <v>12550.777419806695</v>
      </c>
      <c r="L369" s="2">
        <v>1</v>
      </c>
      <c r="M369" s="37">
        <f t="shared" si="95"/>
        <v>1</v>
      </c>
      <c r="N369" s="2"/>
      <c r="O369" s="32"/>
      <c r="P369" s="32"/>
      <c r="Q369" s="2"/>
      <c r="R369" s="2"/>
      <c r="S369" s="2"/>
      <c r="T369" s="2"/>
      <c r="U369" s="37">
        <f t="shared" si="92"/>
        <v>1</v>
      </c>
      <c r="V369" s="34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</row>
    <row r="370" spans="1:86" ht="28.8">
      <c r="A370" s="35" t="s">
        <v>243</v>
      </c>
      <c r="B370" s="1"/>
      <c r="C370" s="1"/>
      <c r="D370" s="1" t="s">
        <v>244</v>
      </c>
      <c r="E370" s="2" t="s">
        <v>245</v>
      </c>
      <c r="F370" s="2">
        <v>59</v>
      </c>
      <c r="G370" s="2" t="s">
        <v>246</v>
      </c>
      <c r="H370" s="2">
        <v>121</v>
      </c>
      <c r="I370" s="2">
        <v>900</v>
      </c>
      <c r="J370" s="12">
        <f t="shared" si="93"/>
        <v>900</v>
      </c>
      <c r="K370" s="5">
        <f t="shared" si="94"/>
        <v>12606.807676145118</v>
      </c>
      <c r="L370" s="2">
        <v>1</v>
      </c>
      <c r="M370" s="37">
        <f t="shared" si="95"/>
        <v>1</v>
      </c>
      <c r="N370" s="2"/>
      <c r="O370" s="32"/>
      <c r="P370" s="32"/>
      <c r="Q370" s="2"/>
      <c r="R370" s="2"/>
      <c r="S370" s="2"/>
      <c r="T370" s="2"/>
      <c r="U370" s="37">
        <f t="shared" si="92"/>
        <v>1</v>
      </c>
      <c r="V370" s="34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</row>
    <row r="371" spans="1:86" ht="28.8">
      <c r="A371" s="35" t="s">
        <v>255</v>
      </c>
      <c r="B371" s="1" t="s">
        <v>256</v>
      </c>
      <c r="C371" s="1" t="s">
        <v>256</v>
      </c>
      <c r="D371" s="1" t="s">
        <v>257</v>
      </c>
      <c r="E371" s="2" t="s">
        <v>258</v>
      </c>
      <c r="F371" s="2">
        <v>165</v>
      </c>
      <c r="G371" s="2" t="s">
        <v>259</v>
      </c>
      <c r="H371" s="2">
        <v>136.5</v>
      </c>
      <c r="I371" s="2">
        <v>1350</v>
      </c>
      <c r="J371" s="12">
        <f t="shared" ref="J371:J411" si="96">IFERROR(IF(AND(V371=3,U371&gt;0),I371,I371*U371),"Verify")</f>
        <v>1350</v>
      </c>
      <c r="K371" s="5">
        <f t="shared" ref="K371:K411" si="97">+J371/(F371*H371*10^-5)</f>
        <v>5994.0059940059937</v>
      </c>
      <c r="L371" s="2">
        <v>1</v>
      </c>
      <c r="M371" s="37">
        <f t="shared" ref="M371:M411" si="98">+L371-X371-Z371-AD371-AB371-AF371-AH371-AJ371-AL371-AO371-AQ371-AS371-AU371-AW371-AY371-BA371-BC371-BE371-BG371-BI371-BK371-BM371-BO371-BQ371-BS371-BU371-BW371-BY371-CA371-CC371-CE371-CG371</f>
        <v>1</v>
      </c>
      <c r="N371" s="2"/>
      <c r="O371" s="32"/>
      <c r="P371" s="32"/>
      <c r="Q371" s="2"/>
      <c r="R371" s="2"/>
      <c r="S371" s="2"/>
      <c r="T371" s="2"/>
      <c r="U371" s="37">
        <f t="shared" si="92"/>
        <v>1</v>
      </c>
      <c r="V371" s="34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</row>
    <row r="372" spans="1:86" ht="28.8">
      <c r="A372" s="35" t="s">
        <v>255</v>
      </c>
      <c r="B372" s="1" t="s">
        <v>260</v>
      </c>
      <c r="C372" s="1" t="s">
        <v>260</v>
      </c>
      <c r="D372" s="1" t="s">
        <v>257</v>
      </c>
      <c r="E372" s="2" t="s">
        <v>258</v>
      </c>
      <c r="F372" s="2">
        <v>180</v>
      </c>
      <c r="G372" s="2" t="s">
        <v>259</v>
      </c>
      <c r="H372" s="2">
        <v>160</v>
      </c>
      <c r="I372" s="2">
        <v>1910</v>
      </c>
      <c r="J372" s="12">
        <f t="shared" si="96"/>
        <v>1910</v>
      </c>
      <c r="K372" s="5">
        <f t="shared" si="97"/>
        <v>6631.9444444444434</v>
      </c>
      <c r="L372" s="2">
        <v>1</v>
      </c>
      <c r="M372" s="37">
        <f t="shared" si="98"/>
        <v>1</v>
      </c>
      <c r="N372" s="2"/>
      <c r="O372" s="32"/>
      <c r="P372" s="32"/>
      <c r="Q372" s="2"/>
      <c r="R372" s="2"/>
      <c r="S372" s="2"/>
      <c r="T372" s="2"/>
      <c r="U372" s="37">
        <f t="shared" si="92"/>
        <v>1</v>
      </c>
      <c r="V372" s="34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</row>
    <row r="373" spans="1:86" ht="28.8">
      <c r="A373" s="35" t="s">
        <v>255</v>
      </c>
      <c r="B373" s="1" t="s">
        <v>261</v>
      </c>
      <c r="C373" s="1" t="s">
        <v>261</v>
      </c>
      <c r="D373" s="1" t="s">
        <v>257</v>
      </c>
      <c r="E373" s="2" t="s">
        <v>262</v>
      </c>
      <c r="F373" s="2">
        <v>45</v>
      </c>
      <c r="G373" s="2" t="s">
        <v>263</v>
      </c>
      <c r="H373" s="2">
        <v>40</v>
      </c>
      <c r="I373" s="2">
        <v>216</v>
      </c>
      <c r="J373" s="12">
        <f t="shared" si="96"/>
        <v>3456</v>
      </c>
      <c r="K373" s="5">
        <f t="shared" si="97"/>
        <v>191999.99999999997</v>
      </c>
      <c r="L373" s="2">
        <v>16</v>
      </c>
      <c r="M373" s="37">
        <f t="shared" si="98"/>
        <v>16</v>
      </c>
      <c r="N373" s="2"/>
      <c r="O373" s="32"/>
      <c r="P373" s="32"/>
      <c r="Q373" s="2"/>
      <c r="R373" s="2"/>
      <c r="S373" s="2"/>
      <c r="T373" s="2"/>
      <c r="U373" s="37">
        <f t="shared" si="92"/>
        <v>16</v>
      </c>
      <c r="V373" s="34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</row>
    <row r="374" spans="1:86" ht="28.8">
      <c r="A374" s="35" t="s">
        <v>255</v>
      </c>
      <c r="B374" s="1" t="s">
        <v>261</v>
      </c>
      <c r="C374" s="1" t="s">
        <v>261</v>
      </c>
      <c r="D374" s="1" t="s">
        <v>257</v>
      </c>
      <c r="E374" s="2" t="s">
        <v>262</v>
      </c>
      <c r="F374" s="2">
        <v>45</v>
      </c>
      <c r="G374" s="2" t="s">
        <v>263</v>
      </c>
      <c r="H374" s="2">
        <v>40</v>
      </c>
      <c r="I374" s="2">
        <v>126</v>
      </c>
      <c r="J374" s="12">
        <f t="shared" si="96"/>
        <v>882</v>
      </c>
      <c r="K374" s="5">
        <f t="shared" si="97"/>
        <v>48999.999999999993</v>
      </c>
      <c r="L374" s="2">
        <v>7</v>
      </c>
      <c r="M374" s="37">
        <f t="shared" si="98"/>
        <v>7</v>
      </c>
      <c r="N374" s="2"/>
      <c r="O374" s="32"/>
      <c r="P374" s="32"/>
      <c r="Q374" s="2"/>
      <c r="R374" s="2"/>
      <c r="S374" s="2"/>
      <c r="T374" s="2"/>
      <c r="U374" s="37">
        <f t="shared" si="92"/>
        <v>7</v>
      </c>
      <c r="V374" s="34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</row>
    <row r="375" spans="1:86" ht="28.8">
      <c r="A375" s="35" t="s">
        <v>255</v>
      </c>
      <c r="B375" s="1" t="s">
        <v>261</v>
      </c>
      <c r="C375" s="1" t="s">
        <v>261</v>
      </c>
      <c r="D375" s="1" t="s">
        <v>257</v>
      </c>
      <c r="E375" s="2" t="s">
        <v>262</v>
      </c>
      <c r="F375" s="2">
        <v>45</v>
      </c>
      <c r="G375" s="2" t="s">
        <v>263</v>
      </c>
      <c r="H375" s="2">
        <v>40</v>
      </c>
      <c r="I375" s="2">
        <v>198</v>
      </c>
      <c r="J375" s="12">
        <f t="shared" si="96"/>
        <v>792</v>
      </c>
      <c r="K375" s="5">
        <f t="shared" si="97"/>
        <v>43999.999999999993</v>
      </c>
      <c r="L375" s="2">
        <v>4</v>
      </c>
      <c r="M375" s="37">
        <f t="shared" si="98"/>
        <v>4</v>
      </c>
      <c r="N375" s="2"/>
      <c r="O375" s="32"/>
      <c r="P375" s="32"/>
      <c r="Q375" s="2"/>
      <c r="R375" s="2"/>
      <c r="S375" s="2"/>
      <c r="T375" s="2"/>
      <c r="U375" s="37">
        <f t="shared" si="92"/>
        <v>4</v>
      </c>
      <c r="V375" s="34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</row>
    <row r="376" spans="1:86" ht="28.8">
      <c r="A376" s="35" t="s">
        <v>255</v>
      </c>
      <c r="B376" s="1" t="s">
        <v>261</v>
      </c>
      <c r="C376" s="1" t="s">
        <v>261</v>
      </c>
      <c r="D376" s="1" t="s">
        <v>257</v>
      </c>
      <c r="E376" s="2" t="s">
        <v>262</v>
      </c>
      <c r="F376" s="2">
        <v>45</v>
      </c>
      <c r="G376" s="2" t="s">
        <v>263</v>
      </c>
      <c r="H376" s="2">
        <v>40</v>
      </c>
      <c r="I376" s="2">
        <v>216</v>
      </c>
      <c r="J376" s="12">
        <f t="shared" si="96"/>
        <v>432</v>
      </c>
      <c r="K376" s="5">
        <f t="shared" si="97"/>
        <v>23999.999999999996</v>
      </c>
      <c r="L376" s="2">
        <v>2</v>
      </c>
      <c r="M376" s="37">
        <f t="shared" si="98"/>
        <v>2</v>
      </c>
      <c r="N376" s="2"/>
      <c r="O376" s="32"/>
      <c r="P376" s="32"/>
      <c r="Q376" s="2"/>
      <c r="R376" s="2"/>
      <c r="S376" s="2"/>
      <c r="T376" s="2"/>
      <c r="U376" s="37">
        <f t="shared" si="92"/>
        <v>2</v>
      </c>
      <c r="V376" s="34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</row>
    <row r="377" spans="1:86" ht="28.8">
      <c r="A377" s="35" t="s">
        <v>255</v>
      </c>
      <c r="B377" s="1" t="s">
        <v>261</v>
      </c>
      <c r="C377" s="1" t="s">
        <v>261</v>
      </c>
      <c r="D377" s="1" t="s">
        <v>257</v>
      </c>
      <c r="E377" s="2" t="s">
        <v>262</v>
      </c>
      <c r="F377" s="2">
        <v>45</v>
      </c>
      <c r="G377" s="2" t="s">
        <v>263</v>
      </c>
      <c r="H377" s="2">
        <v>40</v>
      </c>
      <c r="I377" s="2">
        <v>144</v>
      </c>
      <c r="J377" s="12">
        <f t="shared" si="96"/>
        <v>1296</v>
      </c>
      <c r="K377" s="5">
        <f t="shared" si="97"/>
        <v>71999.999999999985</v>
      </c>
      <c r="L377" s="2">
        <v>9</v>
      </c>
      <c r="M377" s="37">
        <f t="shared" si="98"/>
        <v>9</v>
      </c>
      <c r="N377" s="2"/>
      <c r="O377" s="32"/>
      <c r="P377" s="32"/>
      <c r="Q377" s="2"/>
      <c r="R377" s="2"/>
      <c r="S377" s="2"/>
      <c r="T377" s="2"/>
      <c r="U377" s="37">
        <f t="shared" si="92"/>
        <v>9</v>
      </c>
      <c r="V377" s="34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</row>
    <row r="378" spans="1:86" ht="28.8">
      <c r="A378" s="35" t="s">
        <v>255</v>
      </c>
      <c r="B378" s="1" t="s">
        <v>264</v>
      </c>
      <c r="C378" s="1" t="s">
        <v>264</v>
      </c>
      <c r="D378" s="1" t="s">
        <v>257</v>
      </c>
      <c r="E378" s="2" t="s">
        <v>262</v>
      </c>
      <c r="F378" s="2">
        <v>35</v>
      </c>
      <c r="G378" s="2" t="s">
        <v>263</v>
      </c>
      <c r="H378" s="2">
        <v>65</v>
      </c>
      <c r="I378" s="2">
        <v>270</v>
      </c>
      <c r="J378" s="12">
        <f t="shared" si="96"/>
        <v>1620</v>
      </c>
      <c r="K378" s="5">
        <f t="shared" si="97"/>
        <v>71208.791208791197</v>
      </c>
      <c r="L378" s="2">
        <v>6</v>
      </c>
      <c r="M378" s="37">
        <f t="shared" si="98"/>
        <v>6</v>
      </c>
      <c r="N378" s="2"/>
      <c r="O378" s="32"/>
      <c r="P378" s="32"/>
      <c r="Q378" s="2"/>
      <c r="R378" s="2"/>
      <c r="S378" s="2"/>
      <c r="T378" s="2"/>
      <c r="U378" s="37">
        <f t="shared" si="92"/>
        <v>6</v>
      </c>
      <c r="V378" s="34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</row>
    <row r="379" spans="1:86" ht="28.8">
      <c r="A379" s="35" t="s">
        <v>255</v>
      </c>
      <c r="B379" s="1" t="s">
        <v>260</v>
      </c>
      <c r="C379" s="1" t="s">
        <v>260</v>
      </c>
      <c r="D379" s="1" t="s">
        <v>257</v>
      </c>
      <c r="E379" s="2" t="s">
        <v>258</v>
      </c>
      <c r="F379" s="2">
        <v>180</v>
      </c>
      <c r="G379" s="2" t="s">
        <v>259</v>
      </c>
      <c r="H379" s="2">
        <v>160</v>
      </c>
      <c r="I379" s="2">
        <v>1910</v>
      </c>
      <c r="J379" s="12">
        <f t="shared" si="96"/>
        <v>1910</v>
      </c>
      <c r="K379" s="5">
        <f t="shared" si="97"/>
        <v>6631.9444444444434</v>
      </c>
      <c r="L379" s="2">
        <v>1</v>
      </c>
      <c r="M379" s="37">
        <f t="shared" si="98"/>
        <v>1</v>
      </c>
      <c r="N379" s="2"/>
      <c r="O379" s="32"/>
      <c r="P379" s="32"/>
      <c r="Q379" s="2"/>
      <c r="R379" s="2"/>
      <c r="S379" s="2"/>
      <c r="T379" s="2"/>
      <c r="U379" s="37">
        <f t="shared" si="92"/>
        <v>1</v>
      </c>
      <c r="V379" s="34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</row>
    <row r="380" spans="1:86" ht="28.8">
      <c r="A380" s="35" t="s">
        <v>255</v>
      </c>
      <c r="B380" s="1" t="s">
        <v>265</v>
      </c>
      <c r="C380" s="1" t="s">
        <v>265</v>
      </c>
      <c r="D380" s="1" t="s">
        <v>257</v>
      </c>
      <c r="E380" s="2" t="s">
        <v>258</v>
      </c>
      <c r="F380" s="2">
        <v>170</v>
      </c>
      <c r="G380" s="2" t="s">
        <v>259</v>
      </c>
      <c r="H380" s="2">
        <v>170</v>
      </c>
      <c r="I380" s="2">
        <v>1650</v>
      </c>
      <c r="J380" s="12">
        <f t="shared" si="96"/>
        <v>1650</v>
      </c>
      <c r="K380" s="5">
        <f t="shared" si="97"/>
        <v>5709.3425605536322</v>
      </c>
      <c r="L380" s="2">
        <v>1</v>
      </c>
      <c r="M380" s="37">
        <f t="shared" si="98"/>
        <v>1</v>
      </c>
      <c r="N380" s="2"/>
      <c r="O380" s="32"/>
      <c r="P380" s="32"/>
      <c r="Q380" s="2"/>
      <c r="R380" s="2"/>
      <c r="S380" s="2"/>
      <c r="T380" s="2"/>
      <c r="U380" s="37">
        <f t="shared" si="92"/>
        <v>1</v>
      </c>
      <c r="V380" s="34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</row>
    <row r="381" spans="1:86" ht="28.8">
      <c r="A381" s="35" t="s">
        <v>255</v>
      </c>
      <c r="B381" s="1" t="s">
        <v>261</v>
      </c>
      <c r="C381" s="1" t="s">
        <v>261</v>
      </c>
      <c r="D381" s="1" t="s">
        <v>257</v>
      </c>
      <c r="E381" s="2" t="s">
        <v>262</v>
      </c>
      <c r="F381" s="2">
        <v>45</v>
      </c>
      <c r="G381" s="2" t="s">
        <v>263</v>
      </c>
      <c r="H381" s="2">
        <v>40</v>
      </c>
      <c r="I381" s="2">
        <v>126</v>
      </c>
      <c r="J381" s="12">
        <f t="shared" si="96"/>
        <v>630</v>
      </c>
      <c r="K381" s="5">
        <f t="shared" si="97"/>
        <v>34999.999999999993</v>
      </c>
      <c r="L381" s="2">
        <v>5</v>
      </c>
      <c r="M381" s="37">
        <f t="shared" si="98"/>
        <v>5</v>
      </c>
      <c r="N381" s="2"/>
      <c r="O381" s="32"/>
      <c r="P381" s="32"/>
      <c r="Q381" s="2"/>
      <c r="R381" s="2"/>
      <c r="S381" s="2"/>
      <c r="T381" s="2"/>
      <c r="U381" s="37">
        <f t="shared" si="92"/>
        <v>5</v>
      </c>
      <c r="V381" s="34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</row>
    <row r="382" spans="1:86" ht="28.8">
      <c r="A382" s="35" t="s">
        <v>255</v>
      </c>
      <c r="B382" s="1" t="s">
        <v>261</v>
      </c>
      <c r="C382" s="1" t="s">
        <v>261</v>
      </c>
      <c r="D382" s="1" t="s">
        <v>257</v>
      </c>
      <c r="E382" s="2" t="s">
        <v>262</v>
      </c>
      <c r="F382" s="2">
        <v>45</v>
      </c>
      <c r="G382" s="2" t="s">
        <v>263</v>
      </c>
      <c r="H382" s="2">
        <v>40</v>
      </c>
      <c r="I382" s="2">
        <v>216</v>
      </c>
      <c r="J382" s="12">
        <f t="shared" si="96"/>
        <v>216</v>
      </c>
      <c r="K382" s="5">
        <f t="shared" si="97"/>
        <v>11999.999999999998</v>
      </c>
      <c r="L382" s="2">
        <v>1</v>
      </c>
      <c r="M382" s="37">
        <f t="shared" si="98"/>
        <v>1</v>
      </c>
      <c r="N382" s="2"/>
      <c r="O382" s="32"/>
      <c r="P382" s="32"/>
      <c r="Q382" s="2"/>
      <c r="R382" s="2"/>
      <c r="S382" s="2"/>
      <c r="T382" s="2"/>
      <c r="U382" s="37">
        <f t="shared" si="92"/>
        <v>1</v>
      </c>
      <c r="V382" s="34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</row>
    <row r="383" spans="1:86" ht="28.8">
      <c r="A383" s="35" t="s">
        <v>255</v>
      </c>
      <c r="B383" s="1" t="s">
        <v>266</v>
      </c>
      <c r="C383" s="1" t="s">
        <v>266</v>
      </c>
      <c r="D383" s="1" t="s">
        <v>257</v>
      </c>
      <c r="E383" s="2" t="s">
        <v>262</v>
      </c>
      <c r="F383" s="2">
        <v>35</v>
      </c>
      <c r="G383" s="2" t="s">
        <v>263</v>
      </c>
      <c r="H383" s="2">
        <v>40</v>
      </c>
      <c r="I383" s="2">
        <v>140</v>
      </c>
      <c r="J383" s="12">
        <f t="shared" si="96"/>
        <v>1260</v>
      </c>
      <c r="K383" s="5">
        <f t="shared" si="97"/>
        <v>90000</v>
      </c>
      <c r="L383" s="2">
        <v>9</v>
      </c>
      <c r="M383" s="37">
        <f t="shared" si="98"/>
        <v>9</v>
      </c>
      <c r="N383" s="2"/>
      <c r="O383" s="32"/>
      <c r="P383" s="32"/>
      <c r="Q383" s="2"/>
      <c r="R383" s="2"/>
      <c r="S383" s="2"/>
      <c r="T383" s="2"/>
      <c r="U383" s="37">
        <f t="shared" si="92"/>
        <v>9</v>
      </c>
      <c r="V383" s="34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</row>
    <row r="384" spans="1:86" ht="28.8">
      <c r="A384" s="35" t="s">
        <v>255</v>
      </c>
      <c r="B384" s="1" t="s">
        <v>267</v>
      </c>
      <c r="C384" s="1" t="s">
        <v>267</v>
      </c>
      <c r="D384" s="1" t="s">
        <v>257</v>
      </c>
      <c r="E384" s="2" t="s">
        <v>258</v>
      </c>
      <c r="F384" s="2">
        <v>170</v>
      </c>
      <c r="G384" s="2" t="s">
        <v>259</v>
      </c>
      <c r="H384" s="2">
        <v>136.5</v>
      </c>
      <c r="I384" s="2">
        <v>1310</v>
      </c>
      <c r="J384" s="12">
        <f t="shared" si="96"/>
        <v>1310</v>
      </c>
      <c r="K384" s="5">
        <f t="shared" si="97"/>
        <v>5645.3350570997627</v>
      </c>
      <c r="L384" s="2">
        <v>1</v>
      </c>
      <c r="M384" s="37">
        <f t="shared" si="98"/>
        <v>1</v>
      </c>
      <c r="N384" s="2"/>
      <c r="O384" s="32"/>
      <c r="P384" s="32"/>
      <c r="Q384" s="2"/>
      <c r="R384" s="2"/>
      <c r="S384" s="2"/>
      <c r="T384" s="2"/>
      <c r="U384" s="37">
        <f t="shared" si="92"/>
        <v>1</v>
      </c>
      <c r="V384" s="34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</row>
    <row r="385" spans="1:86" ht="28.8">
      <c r="A385" s="35" t="s">
        <v>255</v>
      </c>
      <c r="B385" s="1" t="s">
        <v>266</v>
      </c>
      <c r="C385" s="1" t="s">
        <v>266</v>
      </c>
      <c r="D385" s="1" t="s">
        <v>257</v>
      </c>
      <c r="E385" s="2" t="s">
        <v>262</v>
      </c>
      <c r="F385" s="2">
        <v>35</v>
      </c>
      <c r="G385" s="2" t="s">
        <v>263</v>
      </c>
      <c r="H385" s="2">
        <v>40</v>
      </c>
      <c r="I385" s="2">
        <v>140</v>
      </c>
      <c r="J385" s="12">
        <f t="shared" si="96"/>
        <v>1680</v>
      </c>
      <c r="K385" s="5">
        <f t="shared" si="97"/>
        <v>120000</v>
      </c>
      <c r="L385" s="2">
        <v>12</v>
      </c>
      <c r="M385" s="37">
        <f t="shared" si="98"/>
        <v>12</v>
      </c>
      <c r="N385" s="2"/>
      <c r="O385" s="32"/>
      <c r="P385" s="32"/>
      <c r="Q385" s="2"/>
      <c r="R385" s="2"/>
      <c r="S385" s="2"/>
      <c r="T385" s="2"/>
      <c r="U385" s="37">
        <f t="shared" si="92"/>
        <v>12</v>
      </c>
      <c r="V385" s="34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</row>
    <row r="386" spans="1:86" ht="28.8">
      <c r="A386" s="35" t="s">
        <v>255</v>
      </c>
      <c r="B386" s="1" t="s">
        <v>268</v>
      </c>
      <c r="C386" s="1" t="s">
        <v>268</v>
      </c>
      <c r="D386" s="1" t="s">
        <v>257</v>
      </c>
      <c r="E386" s="2" t="s">
        <v>258</v>
      </c>
      <c r="F386" s="2">
        <v>155</v>
      </c>
      <c r="G386" s="2" t="s">
        <v>259</v>
      </c>
      <c r="H386" s="2">
        <v>170</v>
      </c>
      <c r="I386" s="2">
        <v>1480</v>
      </c>
      <c r="J386" s="12">
        <f t="shared" si="96"/>
        <v>1480</v>
      </c>
      <c r="K386" s="5">
        <f t="shared" si="97"/>
        <v>5616.6982922201132</v>
      </c>
      <c r="L386" s="2">
        <v>1</v>
      </c>
      <c r="M386" s="37">
        <f t="shared" si="98"/>
        <v>1</v>
      </c>
      <c r="N386" s="2"/>
      <c r="O386" s="32"/>
      <c r="P386" s="32"/>
      <c r="Q386" s="2"/>
      <c r="R386" s="2"/>
      <c r="S386" s="2"/>
      <c r="T386" s="2"/>
      <c r="U386" s="37">
        <f t="shared" si="92"/>
        <v>1</v>
      </c>
      <c r="V386" s="34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 spans="1:86" ht="28.8">
      <c r="A387" s="35" t="s">
        <v>255</v>
      </c>
      <c r="B387" s="1" t="s">
        <v>266</v>
      </c>
      <c r="C387" s="1" t="s">
        <v>266</v>
      </c>
      <c r="D387" s="1" t="s">
        <v>257</v>
      </c>
      <c r="E387" s="2" t="s">
        <v>262</v>
      </c>
      <c r="F387" s="2">
        <v>35</v>
      </c>
      <c r="G387" s="2" t="s">
        <v>263</v>
      </c>
      <c r="H387" s="2">
        <v>40</v>
      </c>
      <c r="I387" s="2">
        <v>140</v>
      </c>
      <c r="J387" s="12">
        <f t="shared" si="96"/>
        <v>1680</v>
      </c>
      <c r="K387" s="5">
        <f t="shared" si="97"/>
        <v>120000</v>
      </c>
      <c r="L387" s="2">
        <v>12</v>
      </c>
      <c r="M387" s="37">
        <f t="shared" si="98"/>
        <v>12</v>
      </c>
      <c r="N387" s="2"/>
      <c r="O387" s="32"/>
      <c r="P387" s="32"/>
      <c r="Q387" s="2"/>
      <c r="R387" s="2"/>
      <c r="S387" s="2"/>
      <c r="T387" s="2"/>
      <c r="U387" s="37">
        <f t="shared" si="92"/>
        <v>12</v>
      </c>
      <c r="V387" s="34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</row>
    <row r="388" spans="1:86" ht="28.8">
      <c r="A388" s="35" t="s">
        <v>255</v>
      </c>
      <c r="B388" s="1" t="s">
        <v>269</v>
      </c>
      <c r="C388" s="1" t="s">
        <v>269</v>
      </c>
      <c r="D388" s="1" t="s">
        <v>257</v>
      </c>
      <c r="E388" s="2" t="s">
        <v>258</v>
      </c>
      <c r="F388" s="2">
        <v>155</v>
      </c>
      <c r="G388" s="2" t="s">
        <v>259</v>
      </c>
      <c r="H388" s="2">
        <v>160</v>
      </c>
      <c r="I388" s="2">
        <v>1670</v>
      </c>
      <c r="J388" s="12">
        <f t="shared" si="96"/>
        <v>1670</v>
      </c>
      <c r="K388" s="5">
        <f t="shared" si="97"/>
        <v>6733.8709677419347</v>
      </c>
      <c r="L388" s="2">
        <v>1</v>
      </c>
      <c r="M388" s="37">
        <f t="shared" si="98"/>
        <v>1</v>
      </c>
      <c r="N388" s="2"/>
      <c r="O388" s="32"/>
      <c r="P388" s="32"/>
      <c r="Q388" s="2"/>
      <c r="R388" s="2"/>
      <c r="S388" s="2"/>
      <c r="T388" s="2"/>
      <c r="U388" s="37">
        <f t="shared" si="92"/>
        <v>1</v>
      </c>
      <c r="V388" s="34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</row>
    <row r="389" spans="1:86" ht="28.8">
      <c r="A389" s="35" t="s">
        <v>255</v>
      </c>
      <c r="B389" s="1" t="s">
        <v>270</v>
      </c>
      <c r="C389" s="1" t="s">
        <v>270</v>
      </c>
      <c r="D389" s="1" t="s">
        <v>257</v>
      </c>
      <c r="E389" s="2" t="s">
        <v>258</v>
      </c>
      <c r="F389" s="2">
        <v>155</v>
      </c>
      <c r="G389" s="2" t="s">
        <v>259</v>
      </c>
      <c r="H389" s="2">
        <v>136.5</v>
      </c>
      <c r="I389" s="2">
        <v>1530</v>
      </c>
      <c r="J389" s="12">
        <f t="shared" si="96"/>
        <v>1530</v>
      </c>
      <c r="K389" s="5">
        <f t="shared" si="97"/>
        <v>7231.4781992201342</v>
      </c>
      <c r="L389" s="2">
        <v>1</v>
      </c>
      <c r="M389" s="37">
        <f t="shared" si="98"/>
        <v>1</v>
      </c>
      <c r="N389" s="2"/>
      <c r="O389" s="32"/>
      <c r="P389" s="32"/>
      <c r="Q389" s="2"/>
      <c r="R389" s="2"/>
      <c r="S389" s="2"/>
      <c r="T389" s="2"/>
      <c r="U389" s="37">
        <f t="shared" si="92"/>
        <v>1</v>
      </c>
      <c r="V389" s="34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</row>
    <row r="390" spans="1:86" ht="28.8">
      <c r="A390" s="35" t="s">
        <v>255</v>
      </c>
      <c r="B390" s="1" t="s">
        <v>266</v>
      </c>
      <c r="C390" s="1" t="s">
        <v>266</v>
      </c>
      <c r="D390" s="1" t="s">
        <v>257</v>
      </c>
      <c r="E390" s="2" t="s">
        <v>262</v>
      </c>
      <c r="F390" s="2">
        <v>35</v>
      </c>
      <c r="G390" s="2" t="s">
        <v>263</v>
      </c>
      <c r="H390" s="2">
        <v>40</v>
      </c>
      <c r="I390" s="2">
        <v>140</v>
      </c>
      <c r="J390" s="12">
        <f t="shared" si="96"/>
        <v>420</v>
      </c>
      <c r="K390" s="5">
        <f t="shared" si="97"/>
        <v>30000</v>
      </c>
      <c r="L390" s="2">
        <v>3</v>
      </c>
      <c r="M390" s="37">
        <f t="shared" si="98"/>
        <v>3</v>
      </c>
      <c r="N390" s="2"/>
      <c r="O390" s="32"/>
      <c r="P390" s="32"/>
      <c r="Q390" s="2"/>
      <c r="R390" s="2"/>
      <c r="S390" s="2"/>
      <c r="T390" s="2"/>
      <c r="U390" s="37">
        <f t="shared" si="92"/>
        <v>3</v>
      </c>
      <c r="V390" s="34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</row>
    <row r="391" spans="1:86" ht="28.8">
      <c r="A391" s="35" t="s">
        <v>255</v>
      </c>
      <c r="B391" s="1" t="s">
        <v>271</v>
      </c>
      <c r="C391" s="1" t="s">
        <v>271</v>
      </c>
      <c r="D391" s="1" t="s">
        <v>257</v>
      </c>
      <c r="E391" s="2" t="s">
        <v>272</v>
      </c>
      <c r="F391" s="2">
        <v>170</v>
      </c>
      <c r="G391" s="2" t="s">
        <v>273</v>
      </c>
      <c r="H391" s="2">
        <v>105</v>
      </c>
      <c r="I391" s="2">
        <v>767</v>
      </c>
      <c r="J391" s="12">
        <f t="shared" si="96"/>
        <v>3068</v>
      </c>
      <c r="K391" s="5">
        <f t="shared" si="97"/>
        <v>17187.67507002801</v>
      </c>
      <c r="L391" s="2">
        <v>4</v>
      </c>
      <c r="M391" s="37">
        <f t="shared" si="98"/>
        <v>4</v>
      </c>
      <c r="N391" s="2"/>
      <c r="O391" s="32"/>
      <c r="P391" s="32"/>
      <c r="Q391" s="2"/>
      <c r="R391" s="2"/>
      <c r="S391" s="2"/>
      <c r="T391" s="2"/>
      <c r="U391" s="37">
        <f t="shared" si="92"/>
        <v>4</v>
      </c>
      <c r="V391" s="34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</row>
    <row r="392" spans="1:86" ht="28.8">
      <c r="A392" s="35" t="s">
        <v>255</v>
      </c>
      <c r="B392" s="1" t="s">
        <v>274</v>
      </c>
      <c r="C392" s="1" t="s">
        <v>274</v>
      </c>
      <c r="D392" s="1" t="s">
        <v>257</v>
      </c>
      <c r="E392" s="2" t="s">
        <v>258</v>
      </c>
      <c r="F392" s="2">
        <v>170</v>
      </c>
      <c r="G392" s="2" t="s">
        <v>259</v>
      </c>
      <c r="H392" s="2">
        <v>150</v>
      </c>
      <c r="I392" s="2">
        <v>1890</v>
      </c>
      <c r="J392" s="12">
        <f t="shared" si="96"/>
        <v>1890</v>
      </c>
      <c r="K392" s="5">
        <f t="shared" si="97"/>
        <v>7411.7647058823532</v>
      </c>
      <c r="L392" s="2">
        <v>1</v>
      </c>
      <c r="M392" s="37">
        <f t="shared" si="98"/>
        <v>1</v>
      </c>
      <c r="N392" s="2"/>
      <c r="O392" s="32"/>
      <c r="P392" s="32"/>
      <c r="Q392" s="2"/>
      <c r="R392" s="2"/>
      <c r="S392" s="2"/>
      <c r="T392" s="2"/>
      <c r="U392" s="37">
        <f t="shared" ref="U392:U442" si="99">+L392-X392-Z392-AD392-AB392-AF392-AH392-AJ392-AL392-AO392-AQ392-AS392-AU392-AW392-AY392-BA392-BC392-BE392-BG392-BI392-BK392-BM392-BO392-BQ392-BS392-BU392-BW392-BY392-CA392-CC392-CE392-CG392</f>
        <v>1</v>
      </c>
      <c r="V392" s="34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</row>
    <row r="393" spans="1:86" ht="28.8">
      <c r="A393" s="35" t="s">
        <v>255</v>
      </c>
      <c r="B393" s="1" t="s">
        <v>274</v>
      </c>
      <c r="C393" s="1" t="s">
        <v>274</v>
      </c>
      <c r="D393" s="1" t="s">
        <v>257</v>
      </c>
      <c r="E393" s="2" t="s">
        <v>258</v>
      </c>
      <c r="F393" s="2">
        <v>170</v>
      </c>
      <c r="G393" s="2" t="s">
        <v>259</v>
      </c>
      <c r="H393" s="2">
        <v>150</v>
      </c>
      <c r="I393" s="2">
        <v>1920</v>
      </c>
      <c r="J393" s="12">
        <f t="shared" si="96"/>
        <v>1920</v>
      </c>
      <c r="K393" s="5">
        <f t="shared" si="97"/>
        <v>7529.411764705882</v>
      </c>
      <c r="L393" s="2">
        <v>1</v>
      </c>
      <c r="M393" s="37">
        <f t="shared" si="98"/>
        <v>1</v>
      </c>
      <c r="N393" s="2"/>
      <c r="O393" s="32"/>
      <c r="P393" s="32"/>
      <c r="Q393" s="2"/>
      <c r="R393" s="2"/>
      <c r="S393" s="2"/>
      <c r="T393" s="2"/>
      <c r="U393" s="37">
        <f t="shared" si="99"/>
        <v>1</v>
      </c>
      <c r="V393" s="34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</row>
    <row r="394" spans="1:86" ht="28.8">
      <c r="A394" s="35" t="s">
        <v>255</v>
      </c>
      <c r="B394" s="1" t="s">
        <v>275</v>
      </c>
      <c r="C394" s="1" t="s">
        <v>275</v>
      </c>
      <c r="D394" s="1" t="s">
        <v>257</v>
      </c>
      <c r="E394" s="2" t="s">
        <v>258</v>
      </c>
      <c r="F394" s="2">
        <v>175</v>
      </c>
      <c r="G394" s="2" t="s">
        <v>259</v>
      </c>
      <c r="H394" s="2">
        <v>160</v>
      </c>
      <c r="I394" s="2">
        <v>1980</v>
      </c>
      <c r="J394" s="12">
        <f t="shared" si="96"/>
        <v>1980</v>
      </c>
      <c r="K394" s="5">
        <f t="shared" si="97"/>
        <v>7071.4285714285706</v>
      </c>
      <c r="L394" s="2">
        <v>1</v>
      </c>
      <c r="M394" s="37">
        <f t="shared" si="98"/>
        <v>1</v>
      </c>
      <c r="N394" s="2"/>
      <c r="O394" s="32"/>
      <c r="P394" s="32"/>
      <c r="Q394" s="2"/>
      <c r="R394" s="2"/>
      <c r="S394" s="2"/>
      <c r="T394" s="2"/>
      <c r="U394" s="37">
        <f t="shared" si="99"/>
        <v>1</v>
      </c>
      <c r="V394" s="34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</row>
    <row r="395" spans="1:86" ht="28.8">
      <c r="A395" s="35" t="s">
        <v>255</v>
      </c>
      <c r="B395" s="1" t="s">
        <v>274</v>
      </c>
      <c r="C395" s="1" t="s">
        <v>274</v>
      </c>
      <c r="D395" s="1" t="s">
        <v>257</v>
      </c>
      <c r="E395" s="2" t="s">
        <v>258</v>
      </c>
      <c r="F395" s="2">
        <v>170</v>
      </c>
      <c r="G395" s="2" t="s">
        <v>259</v>
      </c>
      <c r="H395" s="2">
        <v>150</v>
      </c>
      <c r="I395" s="2">
        <v>1790</v>
      </c>
      <c r="J395" s="12">
        <f t="shared" si="96"/>
        <v>1790</v>
      </c>
      <c r="K395" s="5">
        <f t="shared" si="97"/>
        <v>7019.6078431372543</v>
      </c>
      <c r="L395" s="2">
        <v>1</v>
      </c>
      <c r="M395" s="37">
        <f t="shared" si="98"/>
        <v>1</v>
      </c>
      <c r="N395" s="2"/>
      <c r="O395" s="32"/>
      <c r="P395" s="32"/>
      <c r="Q395" s="2"/>
      <c r="R395" s="2"/>
      <c r="S395" s="2"/>
      <c r="T395" s="2"/>
      <c r="U395" s="37">
        <f t="shared" si="99"/>
        <v>1</v>
      </c>
      <c r="V395" s="34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</row>
    <row r="396" spans="1:86" ht="28.8">
      <c r="A396" s="35" t="s">
        <v>255</v>
      </c>
      <c r="B396" s="1" t="s">
        <v>276</v>
      </c>
      <c r="C396" s="1" t="s">
        <v>276</v>
      </c>
      <c r="D396" s="1" t="s">
        <v>257</v>
      </c>
      <c r="E396" s="2" t="s">
        <v>272</v>
      </c>
      <c r="F396" s="2">
        <v>170</v>
      </c>
      <c r="G396" s="2" t="s">
        <v>273</v>
      </c>
      <c r="H396" s="2">
        <v>100</v>
      </c>
      <c r="I396" s="2">
        <v>730</v>
      </c>
      <c r="J396" s="12">
        <f t="shared" si="96"/>
        <v>1460</v>
      </c>
      <c r="K396" s="5">
        <f t="shared" si="97"/>
        <v>8588.2352941176468</v>
      </c>
      <c r="L396" s="2">
        <v>2</v>
      </c>
      <c r="M396" s="37">
        <f t="shared" si="98"/>
        <v>2</v>
      </c>
      <c r="N396" s="2"/>
      <c r="O396" s="32"/>
      <c r="P396" s="32"/>
      <c r="Q396" s="2"/>
      <c r="R396" s="2"/>
      <c r="S396" s="2"/>
      <c r="T396" s="2"/>
      <c r="U396" s="37">
        <f t="shared" si="99"/>
        <v>2</v>
      </c>
      <c r="V396" s="34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</row>
    <row r="397" spans="1:86" ht="28.8">
      <c r="A397" s="35" t="s">
        <v>277</v>
      </c>
      <c r="B397" s="1" t="s">
        <v>278</v>
      </c>
      <c r="C397" s="1" t="s">
        <v>278</v>
      </c>
      <c r="D397" s="1" t="s">
        <v>257</v>
      </c>
      <c r="E397" s="2" t="s">
        <v>258</v>
      </c>
      <c r="F397" s="2">
        <v>150</v>
      </c>
      <c r="G397" s="2" t="s">
        <v>259</v>
      </c>
      <c r="H397" s="2">
        <v>170</v>
      </c>
      <c r="I397" s="2">
        <v>1890</v>
      </c>
      <c r="J397" s="12">
        <f t="shared" si="96"/>
        <v>1890</v>
      </c>
      <c r="K397" s="5">
        <f t="shared" si="97"/>
        <v>7411.7647058823532</v>
      </c>
      <c r="L397" s="2">
        <v>1</v>
      </c>
      <c r="M397" s="37">
        <f t="shared" si="98"/>
        <v>1</v>
      </c>
      <c r="N397" s="2"/>
      <c r="O397" s="32"/>
      <c r="P397" s="32"/>
      <c r="Q397" s="2"/>
      <c r="R397" s="2"/>
      <c r="S397" s="2"/>
      <c r="T397" s="2"/>
      <c r="U397" s="37">
        <f t="shared" si="99"/>
        <v>1</v>
      </c>
      <c r="V397" s="34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</row>
    <row r="398" spans="1:86" ht="28.8">
      <c r="A398" s="35" t="s">
        <v>277</v>
      </c>
      <c r="B398" s="1" t="s">
        <v>279</v>
      </c>
      <c r="C398" s="1" t="s">
        <v>279</v>
      </c>
      <c r="D398" s="1" t="s">
        <v>257</v>
      </c>
      <c r="E398" s="2" t="s">
        <v>262</v>
      </c>
      <c r="F398" s="2">
        <v>45</v>
      </c>
      <c r="G398" s="2" t="s">
        <v>263</v>
      </c>
      <c r="H398" s="2">
        <v>100</v>
      </c>
      <c r="I398" s="2">
        <v>360</v>
      </c>
      <c r="J398" s="12">
        <f t="shared" si="96"/>
        <v>360</v>
      </c>
      <c r="K398" s="5">
        <f t="shared" si="97"/>
        <v>7999.9999999999991</v>
      </c>
      <c r="L398" s="2">
        <v>1</v>
      </c>
      <c r="M398" s="37">
        <f t="shared" si="98"/>
        <v>1</v>
      </c>
      <c r="N398" s="2"/>
      <c r="O398" s="32"/>
      <c r="P398" s="32"/>
      <c r="Q398" s="2"/>
      <c r="R398" s="2"/>
      <c r="S398" s="2"/>
      <c r="T398" s="2"/>
      <c r="U398" s="37">
        <f t="shared" si="99"/>
        <v>1</v>
      </c>
      <c r="V398" s="34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</row>
    <row r="399" spans="1:86" ht="28.8">
      <c r="A399" s="35" t="s">
        <v>277</v>
      </c>
      <c r="B399" s="1" t="s">
        <v>279</v>
      </c>
      <c r="C399" s="1" t="s">
        <v>279</v>
      </c>
      <c r="D399" s="1" t="s">
        <v>257</v>
      </c>
      <c r="E399" s="2" t="s">
        <v>262</v>
      </c>
      <c r="F399" s="2">
        <v>45</v>
      </c>
      <c r="G399" s="2" t="s">
        <v>263</v>
      </c>
      <c r="H399" s="2">
        <v>100</v>
      </c>
      <c r="I399" s="2">
        <v>405</v>
      </c>
      <c r="J399" s="12">
        <f t="shared" si="96"/>
        <v>810</v>
      </c>
      <c r="K399" s="5">
        <f t="shared" si="97"/>
        <v>17999.999999999996</v>
      </c>
      <c r="L399" s="2">
        <v>2</v>
      </c>
      <c r="M399" s="37">
        <f t="shared" si="98"/>
        <v>2</v>
      </c>
      <c r="N399" s="2"/>
      <c r="O399" s="32"/>
      <c r="P399" s="32"/>
      <c r="Q399" s="2"/>
      <c r="R399" s="2"/>
      <c r="S399" s="2"/>
      <c r="T399" s="2"/>
      <c r="U399" s="37">
        <f t="shared" si="99"/>
        <v>2</v>
      </c>
      <c r="V399" s="34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</row>
    <row r="400" spans="1:86" ht="28.8">
      <c r="A400" s="35" t="s">
        <v>277</v>
      </c>
      <c r="B400" s="1" t="s">
        <v>268</v>
      </c>
      <c r="C400" s="1" t="s">
        <v>268</v>
      </c>
      <c r="D400" s="1" t="s">
        <v>257</v>
      </c>
      <c r="E400" s="2" t="s">
        <v>258</v>
      </c>
      <c r="F400" s="2">
        <v>155</v>
      </c>
      <c r="G400" s="2" t="s">
        <v>259</v>
      </c>
      <c r="H400" s="2">
        <v>170</v>
      </c>
      <c r="I400" s="2">
        <v>1890</v>
      </c>
      <c r="J400" s="12">
        <f t="shared" si="96"/>
        <v>1890</v>
      </c>
      <c r="K400" s="5">
        <f t="shared" si="97"/>
        <v>7172.6755218216313</v>
      </c>
      <c r="L400" s="2">
        <v>1</v>
      </c>
      <c r="M400" s="37">
        <f t="shared" si="98"/>
        <v>1</v>
      </c>
      <c r="N400" s="2"/>
      <c r="O400" s="32"/>
      <c r="P400" s="32"/>
      <c r="Q400" s="2"/>
      <c r="R400" s="2"/>
      <c r="S400" s="2"/>
      <c r="T400" s="2"/>
      <c r="U400" s="37">
        <f t="shared" si="99"/>
        <v>1</v>
      </c>
      <c r="V400" s="34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</row>
    <row r="401" spans="1:86" ht="28.8">
      <c r="A401" s="35" t="s">
        <v>277</v>
      </c>
      <c r="B401" s="1" t="s">
        <v>280</v>
      </c>
      <c r="C401" s="1" t="s">
        <v>280</v>
      </c>
      <c r="D401" s="1" t="s">
        <v>257</v>
      </c>
      <c r="E401" s="2" t="s">
        <v>262</v>
      </c>
      <c r="F401" s="2">
        <v>35</v>
      </c>
      <c r="G401" s="2" t="s">
        <v>263</v>
      </c>
      <c r="H401" s="2">
        <v>100</v>
      </c>
      <c r="I401" s="2">
        <v>420</v>
      </c>
      <c r="J401" s="12">
        <f t="shared" si="96"/>
        <v>420</v>
      </c>
      <c r="K401" s="5">
        <f t="shared" si="97"/>
        <v>11999.999999999998</v>
      </c>
      <c r="L401" s="2">
        <v>1</v>
      </c>
      <c r="M401" s="37">
        <f t="shared" si="98"/>
        <v>1</v>
      </c>
      <c r="N401" s="2"/>
      <c r="O401" s="32"/>
      <c r="P401" s="32"/>
      <c r="Q401" s="2"/>
      <c r="R401" s="2"/>
      <c r="S401" s="2"/>
      <c r="T401" s="2"/>
      <c r="U401" s="37">
        <f t="shared" si="99"/>
        <v>1</v>
      </c>
      <c r="V401" s="34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</row>
    <row r="402" spans="1:86" ht="28.8">
      <c r="A402" s="35" t="s">
        <v>277</v>
      </c>
      <c r="B402" s="1" t="s">
        <v>278</v>
      </c>
      <c r="C402" s="1" t="s">
        <v>278</v>
      </c>
      <c r="D402" s="1" t="s">
        <v>257</v>
      </c>
      <c r="E402" s="2" t="s">
        <v>258</v>
      </c>
      <c r="F402" s="2">
        <v>150</v>
      </c>
      <c r="G402" s="2" t="s">
        <v>259</v>
      </c>
      <c r="H402" s="2">
        <v>170</v>
      </c>
      <c r="I402" s="2">
        <v>1890</v>
      </c>
      <c r="J402" s="12">
        <f t="shared" si="96"/>
        <v>1890</v>
      </c>
      <c r="K402" s="5">
        <f t="shared" si="97"/>
        <v>7411.7647058823532</v>
      </c>
      <c r="L402" s="2">
        <v>1</v>
      </c>
      <c r="M402" s="37">
        <f t="shared" si="98"/>
        <v>1</v>
      </c>
      <c r="N402" s="2"/>
      <c r="O402" s="32"/>
      <c r="P402" s="32"/>
      <c r="Q402" s="2"/>
      <c r="R402" s="2"/>
      <c r="S402" s="2"/>
      <c r="T402" s="2"/>
      <c r="U402" s="37">
        <f t="shared" si="99"/>
        <v>1</v>
      </c>
      <c r="V402" s="34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</row>
    <row r="403" spans="1:86" ht="28.8">
      <c r="A403" s="35" t="s">
        <v>277</v>
      </c>
      <c r="B403" s="1" t="s">
        <v>267</v>
      </c>
      <c r="C403" s="1" t="s">
        <v>267</v>
      </c>
      <c r="D403" s="1" t="s">
        <v>257</v>
      </c>
      <c r="E403" s="2" t="s">
        <v>258</v>
      </c>
      <c r="F403" s="2">
        <v>170</v>
      </c>
      <c r="G403" s="2" t="s">
        <v>259</v>
      </c>
      <c r="H403" s="2">
        <v>136.5</v>
      </c>
      <c r="I403" s="2">
        <v>1480</v>
      </c>
      <c r="J403" s="12">
        <f t="shared" si="96"/>
        <v>1480</v>
      </c>
      <c r="K403" s="5">
        <f t="shared" si="97"/>
        <v>6377.9357897004957</v>
      </c>
      <c r="L403" s="2">
        <v>1</v>
      </c>
      <c r="M403" s="37">
        <f t="shared" si="98"/>
        <v>1</v>
      </c>
      <c r="N403" s="2"/>
      <c r="O403" s="32"/>
      <c r="P403" s="32"/>
      <c r="Q403" s="2"/>
      <c r="R403" s="2"/>
      <c r="S403" s="2"/>
      <c r="T403" s="2"/>
      <c r="U403" s="37">
        <f t="shared" si="99"/>
        <v>1</v>
      </c>
      <c r="V403" s="34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</row>
    <row r="404" spans="1:86" ht="28.8">
      <c r="A404" s="35" t="s">
        <v>277</v>
      </c>
      <c r="B404" s="1" t="s">
        <v>261</v>
      </c>
      <c r="C404" s="1" t="s">
        <v>261</v>
      </c>
      <c r="D404" s="1" t="s">
        <v>257</v>
      </c>
      <c r="E404" s="2" t="s">
        <v>262</v>
      </c>
      <c r="F404" s="2">
        <v>45</v>
      </c>
      <c r="G404" s="2" t="s">
        <v>263</v>
      </c>
      <c r="H404" s="2">
        <v>40</v>
      </c>
      <c r="I404" s="2">
        <v>180</v>
      </c>
      <c r="J404" s="12">
        <f t="shared" si="96"/>
        <v>1260</v>
      </c>
      <c r="K404" s="5">
        <f t="shared" si="97"/>
        <v>69999.999999999985</v>
      </c>
      <c r="L404" s="2">
        <v>7</v>
      </c>
      <c r="M404" s="37">
        <f t="shared" si="98"/>
        <v>7</v>
      </c>
      <c r="N404" s="2"/>
      <c r="O404" s="32"/>
      <c r="P404" s="32"/>
      <c r="Q404" s="2"/>
      <c r="R404" s="2"/>
      <c r="S404" s="2"/>
      <c r="T404" s="2"/>
      <c r="U404" s="37">
        <f t="shared" si="99"/>
        <v>7</v>
      </c>
      <c r="V404" s="34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</row>
    <row r="405" spans="1:86" ht="28.8">
      <c r="A405" s="35" t="s">
        <v>277</v>
      </c>
      <c r="B405" s="1" t="s">
        <v>261</v>
      </c>
      <c r="C405" s="1" t="s">
        <v>261</v>
      </c>
      <c r="D405" s="1" t="s">
        <v>257</v>
      </c>
      <c r="E405" s="2" t="s">
        <v>262</v>
      </c>
      <c r="F405" s="2">
        <v>45</v>
      </c>
      <c r="G405" s="2" t="s">
        <v>263</v>
      </c>
      <c r="H405" s="2">
        <v>40</v>
      </c>
      <c r="I405" s="2">
        <v>180</v>
      </c>
      <c r="J405" s="12">
        <f t="shared" si="96"/>
        <v>900</v>
      </c>
      <c r="K405" s="5">
        <f t="shared" si="97"/>
        <v>49999.999999999993</v>
      </c>
      <c r="L405" s="2">
        <v>5</v>
      </c>
      <c r="M405" s="37">
        <f t="shared" si="98"/>
        <v>5</v>
      </c>
      <c r="N405" s="2"/>
      <c r="O405" s="32"/>
      <c r="P405" s="32"/>
      <c r="Q405" s="2"/>
      <c r="R405" s="2"/>
      <c r="S405" s="2"/>
      <c r="T405" s="2"/>
      <c r="U405" s="37">
        <f t="shared" si="99"/>
        <v>5</v>
      </c>
      <c r="V405" s="34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</row>
    <row r="406" spans="1:86" ht="28.8">
      <c r="A406" s="35" t="s">
        <v>277</v>
      </c>
      <c r="B406" s="1" t="s">
        <v>281</v>
      </c>
      <c r="C406" s="1" t="s">
        <v>281</v>
      </c>
      <c r="D406" s="1" t="s">
        <v>257</v>
      </c>
      <c r="E406" s="2" t="s">
        <v>258</v>
      </c>
      <c r="F406" s="2">
        <v>160</v>
      </c>
      <c r="G406" s="2" t="s">
        <v>259</v>
      </c>
      <c r="H406" s="2">
        <v>160</v>
      </c>
      <c r="I406" s="2">
        <v>1670</v>
      </c>
      <c r="J406" s="12">
        <f t="shared" si="96"/>
        <v>1670</v>
      </c>
      <c r="K406" s="5">
        <f t="shared" si="97"/>
        <v>6523.4375</v>
      </c>
      <c r="L406" s="2">
        <v>1</v>
      </c>
      <c r="M406" s="37">
        <f t="shared" si="98"/>
        <v>1</v>
      </c>
      <c r="N406" s="2"/>
      <c r="O406" s="32"/>
      <c r="P406" s="32"/>
      <c r="Q406" s="2"/>
      <c r="R406" s="2"/>
      <c r="S406" s="2"/>
      <c r="T406" s="2"/>
      <c r="U406" s="37">
        <f t="shared" si="99"/>
        <v>1</v>
      </c>
      <c r="V406" s="34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</row>
    <row r="407" spans="1:86" ht="28.8">
      <c r="A407" s="35" t="s">
        <v>277</v>
      </c>
      <c r="B407" s="1" t="s">
        <v>261</v>
      </c>
      <c r="C407" s="1" t="s">
        <v>261</v>
      </c>
      <c r="D407" s="1" t="s">
        <v>257</v>
      </c>
      <c r="E407" s="2" t="s">
        <v>262</v>
      </c>
      <c r="F407" s="2">
        <v>45</v>
      </c>
      <c r="G407" s="2" t="s">
        <v>263</v>
      </c>
      <c r="H407" s="2">
        <v>40</v>
      </c>
      <c r="I407" s="2">
        <v>180</v>
      </c>
      <c r="J407" s="12">
        <f t="shared" si="96"/>
        <v>3600</v>
      </c>
      <c r="K407" s="5">
        <f t="shared" si="97"/>
        <v>199999.99999999997</v>
      </c>
      <c r="L407" s="2">
        <v>20</v>
      </c>
      <c r="M407" s="37">
        <f t="shared" si="98"/>
        <v>20</v>
      </c>
      <c r="N407" s="2"/>
      <c r="O407" s="32"/>
      <c r="P407" s="32"/>
      <c r="Q407" s="2"/>
      <c r="R407" s="2"/>
      <c r="S407" s="2"/>
      <c r="T407" s="2"/>
      <c r="U407" s="37">
        <f t="shared" si="99"/>
        <v>20</v>
      </c>
      <c r="V407" s="34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</row>
    <row r="408" spans="1:86" ht="28.8">
      <c r="A408" s="35" t="s">
        <v>277</v>
      </c>
      <c r="B408" s="1" t="s">
        <v>282</v>
      </c>
      <c r="C408" s="1" t="s">
        <v>282</v>
      </c>
      <c r="D408" s="1" t="s">
        <v>257</v>
      </c>
      <c r="E408" s="2" t="s">
        <v>258</v>
      </c>
      <c r="F408" s="2">
        <v>175</v>
      </c>
      <c r="G408" s="2" t="s">
        <v>259</v>
      </c>
      <c r="H408" s="2">
        <v>170</v>
      </c>
      <c r="I408" s="2">
        <v>1670</v>
      </c>
      <c r="J408" s="12">
        <f t="shared" si="96"/>
        <v>1670</v>
      </c>
      <c r="K408" s="5">
        <f t="shared" si="97"/>
        <v>5613.4453781512593</v>
      </c>
      <c r="L408" s="2">
        <v>1</v>
      </c>
      <c r="M408" s="37">
        <f t="shared" si="98"/>
        <v>1</v>
      </c>
      <c r="N408" s="2"/>
      <c r="O408" s="32"/>
      <c r="P408" s="32"/>
      <c r="Q408" s="2"/>
      <c r="R408" s="2"/>
      <c r="S408" s="2"/>
      <c r="T408" s="2"/>
      <c r="U408" s="37">
        <f t="shared" si="99"/>
        <v>1</v>
      </c>
      <c r="V408" s="34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</row>
    <row r="409" spans="1:86" ht="28.8">
      <c r="A409" s="35" t="s">
        <v>277</v>
      </c>
      <c r="B409" s="1" t="s">
        <v>269</v>
      </c>
      <c r="C409" s="1" t="s">
        <v>269</v>
      </c>
      <c r="D409" s="1" t="s">
        <v>257</v>
      </c>
      <c r="E409" s="2" t="s">
        <v>258</v>
      </c>
      <c r="F409" s="2">
        <v>155</v>
      </c>
      <c r="G409" s="2" t="s">
        <v>259</v>
      </c>
      <c r="H409" s="2">
        <v>160</v>
      </c>
      <c r="I409" s="2">
        <v>1680</v>
      </c>
      <c r="J409" s="12">
        <f t="shared" si="96"/>
        <v>1680</v>
      </c>
      <c r="K409" s="5">
        <f t="shared" si="97"/>
        <v>6774.1935483870957</v>
      </c>
      <c r="L409" s="2">
        <v>1</v>
      </c>
      <c r="M409" s="37">
        <f t="shared" si="98"/>
        <v>1</v>
      </c>
      <c r="N409" s="2"/>
      <c r="O409" s="32"/>
      <c r="P409" s="32"/>
      <c r="Q409" s="2"/>
      <c r="R409" s="2"/>
      <c r="S409" s="2"/>
      <c r="T409" s="2"/>
      <c r="U409" s="37">
        <f t="shared" si="99"/>
        <v>1</v>
      </c>
      <c r="V409" s="34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</row>
    <row r="410" spans="1:86" ht="28.8">
      <c r="A410" s="35" t="s">
        <v>277</v>
      </c>
      <c r="B410" s="1" t="s">
        <v>261</v>
      </c>
      <c r="C410" s="1" t="s">
        <v>261</v>
      </c>
      <c r="D410" s="1" t="s">
        <v>257</v>
      </c>
      <c r="E410" s="2" t="s">
        <v>262</v>
      </c>
      <c r="F410" s="2">
        <v>45</v>
      </c>
      <c r="G410" s="2" t="s">
        <v>263</v>
      </c>
      <c r="H410" s="2">
        <v>40</v>
      </c>
      <c r="I410" s="2">
        <v>180</v>
      </c>
      <c r="J410" s="12">
        <f t="shared" si="96"/>
        <v>1440</v>
      </c>
      <c r="K410" s="5">
        <f t="shared" si="97"/>
        <v>79999.999999999985</v>
      </c>
      <c r="L410" s="2">
        <v>8</v>
      </c>
      <c r="M410" s="37">
        <f t="shared" si="98"/>
        <v>8</v>
      </c>
      <c r="N410" s="2"/>
      <c r="O410" s="32"/>
      <c r="P410" s="32"/>
      <c r="Q410" s="2"/>
      <c r="R410" s="2"/>
      <c r="S410" s="2"/>
      <c r="T410" s="2"/>
      <c r="U410" s="37">
        <f t="shared" si="99"/>
        <v>8</v>
      </c>
      <c r="V410" s="34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</row>
    <row r="411" spans="1:86" ht="28.8">
      <c r="A411" s="35" t="s">
        <v>277</v>
      </c>
      <c r="B411" s="1" t="s">
        <v>261</v>
      </c>
      <c r="C411" s="1" t="s">
        <v>261</v>
      </c>
      <c r="D411" s="1" t="s">
        <v>257</v>
      </c>
      <c r="E411" s="2" t="s">
        <v>262</v>
      </c>
      <c r="F411" s="2">
        <v>45</v>
      </c>
      <c r="G411" s="2" t="s">
        <v>263</v>
      </c>
      <c r="H411" s="2">
        <v>40</v>
      </c>
      <c r="I411" s="2">
        <v>180</v>
      </c>
      <c r="J411" s="12">
        <f t="shared" si="96"/>
        <v>540</v>
      </c>
      <c r="K411" s="5">
        <f t="shared" si="97"/>
        <v>29999.999999999996</v>
      </c>
      <c r="L411" s="2">
        <v>3</v>
      </c>
      <c r="M411" s="37">
        <f t="shared" si="98"/>
        <v>3</v>
      </c>
      <c r="N411" s="2"/>
      <c r="O411" s="32"/>
      <c r="P411" s="32"/>
      <c r="Q411" s="2"/>
      <c r="R411" s="2"/>
      <c r="S411" s="2"/>
      <c r="T411" s="2"/>
      <c r="U411" s="37">
        <f t="shared" si="99"/>
        <v>3</v>
      </c>
      <c r="V411" s="34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</row>
    <row r="412" spans="1:86" ht="28.8">
      <c r="A412" s="35" t="s">
        <v>277</v>
      </c>
      <c r="B412" s="1" t="s">
        <v>261</v>
      </c>
      <c r="C412" s="1" t="s">
        <v>261</v>
      </c>
      <c r="D412" s="1" t="s">
        <v>257</v>
      </c>
      <c r="E412" s="2" t="s">
        <v>262</v>
      </c>
      <c r="F412" s="2">
        <v>45</v>
      </c>
      <c r="G412" s="2" t="s">
        <v>263</v>
      </c>
      <c r="H412" s="2">
        <v>40</v>
      </c>
      <c r="I412" s="2">
        <v>144</v>
      </c>
      <c r="J412" s="12">
        <f t="shared" ref="J412:J425" si="100">IFERROR(IF(AND(V412=3,U412&gt;0),I412,I412*U412),"Verify")</f>
        <v>576</v>
      </c>
      <c r="K412" s="5">
        <f t="shared" ref="K412:K425" si="101">+J412/(F412*H412*10^-5)</f>
        <v>31999.999999999996</v>
      </c>
      <c r="L412" s="2">
        <v>4</v>
      </c>
      <c r="M412" s="37">
        <f t="shared" ref="M412:M425" si="102">+L412-X412-Z412-AD412-AB412-AF412-AH412-AJ412-AL412-AO412-AQ412-AS412-AU412-AW412-AY412-BA412-BC412-BE412-BG412-BI412-BK412-BM412-BO412-BQ412-BS412-BU412-BW412-BY412-CA412-CC412-CE412-CG412</f>
        <v>4</v>
      </c>
      <c r="N412" s="2"/>
      <c r="O412" s="32"/>
      <c r="P412" s="32"/>
      <c r="Q412" s="2"/>
      <c r="R412" s="2"/>
      <c r="S412" s="2"/>
      <c r="T412" s="2"/>
      <c r="U412" s="37">
        <f t="shared" si="99"/>
        <v>4</v>
      </c>
      <c r="V412" s="34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</row>
    <row r="413" spans="1:86" ht="28.8">
      <c r="A413" s="35" t="s">
        <v>277</v>
      </c>
      <c r="B413" s="1" t="s">
        <v>261</v>
      </c>
      <c r="C413" s="1" t="s">
        <v>261</v>
      </c>
      <c r="D413" s="1" t="s">
        <v>257</v>
      </c>
      <c r="E413" s="2" t="s">
        <v>262</v>
      </c>
      <c r="F413" s="2">
        <v>45</v>
      </c>
      <c r="G413" s="2" t="s">
        <v>263</v>
      </c>
      <c r="H413" s="2">
        <v>40</v>
      </c>
      <c r="I413" s="2">
        <v>144</v>
      </c>
      <c r="J413" s="12">
        <f t="shared" si="100"/>
        <v>144</v>
      </c>
      <c r="K413" s="5">
        <f t="shared" si="101"/>
        <v>7999.9999999999991</v>
      </c>
      <c r="L413" s="2">
        <v>1</v>
      </c>
      <c r="M413" s="37">
        <f t="shared" si="102"/>
        <v>1</v>
      </c>
      <c r="N413" s="2"/>
      <c r="O413" s="32"/>
      <c r="P413" s="32"/>
      <c r="Q413" s="2"/>
      <c r="R413" s="2"/>
      <c r="S413" s="2"/>
      <c r="T413" s="2"/>
      <c r="U413" s="37">
        <f t="shared" si="99"/>
        <v>1</v>
      </c>
      <c r="V413" s="34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</row>
    <row r="414" spans="1:86" ht="28.8">
      <c r="A414" s="35" t="s">
        <v>277</v>
      </c>
      <c r="B414" s="1" t="s">
        <v>261</v>
      </c>
      <c r="C414" s="1" t="s">
        <v>261</v>
      </c>
      <c r="D414" s="1" t="s">
        <v>257</v>
      </c>
      <c r="E414" s="2" t="s">
        <v>262</v>
      </c>
      <c r="F414" s="2">
        <v>45</v>
      </c>
      <c r="G414" s="2" t="s">
        <v>263</v>
      </c>
      <c r="H414" s="2">
        <v>40</v>
      </c>
      <c r="I414" s="2">
        <v>180</v>
      </c>
      <c r="J414" s="12">
        <f t="shared" si="100"/>
        <v>360</v>
      </c>
      <c r="K414" s="5">
        <f t="shared" si="101"/>
        <v>19999.999999999996</v>
      </c>
      <c r="L414" s="2">
        <v>2</v>
      </c>
      <c r="M414" s="37">
        <f t="shared" si="102"/>
        <v>2</v>
      </c>
      <c r="N414" s="2"/>
      <c r="O414" s="32"/>
      <c r="P414" s="32"/>
      <c r="Q414" s="2"/>
      <c r="R414" s="2"/>
      <c r="S414" s="2"/>
      <c r="T414" s="2"/>
      <c r="U414" s="37">
        <f t="shared" si="99"/>
        <v>2</v>
      </c>
      <c r="V414" s="34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</row>
    <row r="415" spans="1:86" ht="28.8">
      <c r="A415" s="35" t="s">
        <v>277</v>
      </c>
      <c r="B415" s="1" t="s">
        <v>261</v>
      </c>
      <c r="C415" s="1" t="s">
        <v>261</v>
      </c>
      <c r="D415" s="1" t="s">
        <v>257</v>
      </c>
      <c r="E415" s="2" t="s">
        <v>262</v>
      </c>
      <c r="F415" s="2">
        <v>45</v>
      </c>
      <c r="G415" s="2" t="s">
        <v>263</v>
      </c>
      <c r="H415" s="2">
        <v>40</v>
      </c>
      <c r="I415" s="2">
        <v>126</v>
      </c>
      <c r="J415" s="12">
        <f t="shared" si="100"/>
        <v>756</v>
      </c>
      <c r="K415" s="5">
        <f t="shared" si="101"/>
        <v>41999.999999999993</v>
      </c>
      <c r="L415" s="2">
        <v>6</v>
      </c>
      <c r="M415" s="37">
        <f t="shared" si="102"/>
        <v>6</v>
      </c>
      <c r="N415" s="2"/>
      <c r="O415" s="32"/>
      <c r="P415" s="32"/>
      <c r="Q415" s="2"/>
      <c r="R415" s="2"/>
      <c r="S415" s="2"/>
      <c r="T415" s="2"/>
      <c r="U415" s="37">
        <f t="shared" si="99"/>
        <v>6</v>
      </c>
      <c r="V415" s="34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</row>
    <row r="416" spans="1:86" ht="28.8">
      <c r="A416" s="35" t="s">
        <v>277</v>
      </c>
      <c r="B416" s="1" t="s">
        <v>265</v>
      </c>
      <c r="C416" s="1" t="s">
        <v>265</v>
      </c>
      <c r="D416" s="1" t="s">
        <v>257</v>
      </c>
      <c r="E416" s="2" t="s">
        <v>258</v>
      </c>
      <c r="F416" s="2">
        <v>170</v>
      </c>
      <c r="G416" s="2" t="s">
        <v>259</v>
      </c>
      <c r="H416" s="2">
        <v>170</v>
      </c>
      <c r="I416" s="2">
        <v>1680</v>
      </c>
      <c r="J416" s="12">
        <f t="shared" si="100"/>
        <v>1680</v>
      </c>
      <c r="K416" s="5">
        <f t="shared" si="101"/>
        <v>5813.1487889273349</v>
      </c>
      <c r="L416" s="2">
        <v>1</v>
      </c>
      <c r="M416" s="37">
        <f t="shared" si="102"/>
        <v>1</v>
      </c>
      <c r="N416" s="2"/>
      <c r="O416" s="32"/>
      <c r="P416" s="32"/>
      <c r="Q416" s="2"/>
      <c r="R416" s="2"/>
      <c r="S416" s="2"/>
      <c r="T416" s="2"/>
      <c r="U416" s="37">
        <f t="shared" si="99"/>
        <v>1</v>
      </c>
      <c r="V416" s="34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</row>
    <row r="417" spans="1:86" ht="28.8">
      <c r="A417" s="35" t="s">
        <v>277</v>
      </c>
      <c r="B417" s="1" t="s">
        <v>283</v>
      </c>
      <c r="C417" s="1" t="s">
        <v>283</v>
      </c>
      <c r="D417" s="1" t="s">
        <v>257</v>
      </c>
      <c r="E417" s="2" t="s">
        <v>258</v>
      </c>
      <c r="F417" s="2">
        <v>170</v>
      </c>
      <c r="G417" s="2" t="s">
        <v>259</v>
      </c>
      <c r="H417" s="2">
        <v>160</v>
      </c>
      <c r="I417" s="2">
        <v>2000</v>
      </c>
      <c r="J417" s="12">
        <f t="shared" si="100"/>
        <v>2000</v>
      </c>
      <c r="K417" s="5">
        <f t="shared" si="101"/>
        <v>7352.9411764705874</v>
      </c>
      <c r="L417" s="2">
        <v>1</v>
      </c>
      <c r="M417" s="37">
        <f t="shared" si="102"/>
        <v>1</v>
      </c>
      <c r="N417" s="2"/>
      <c r="O417" s="32"/>
      <c r="P417" s="32"/>
      <c r="Q417" s="2"/>
      <c r="R417" s="2"/>
      <c r="S417" s="2"/>
      <c r="T417" s="2"/>
      <c r="U417" s="37">
        <f t="shared" si="99"/>
        <v>1</v>
      </c>
      <c r="V417" s="34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</row>
    <row r="418" spans="1:86" ht="28.8">
      <c r="A418" s="35" t="s">
        <v>284</v>
      </c>
      <c r="B418" s="1" t="s">
        <v>279</v>
      </c>
      <c r="C418" s="1" t="s">
        <v>279</v>
      </c>
      <c r="D418" s="1" t="s">
        <v>257</v>
      </c>
      <c r="E418" s="2" t="s">
        <v>262</v>
      </c>
      <c r="F418" s="2">
        <v>45</v>
      </c>
      <c r="G418" s="2" t="s">
        <v>263</v>
      </c>
      <c r="H418" s="2">
        <v>100</v>
      </c>
      <c r="I418" s="2">
        <v>450</v>
      </c>
      <c r="J418" s="12">
        <f t="shared" si="100"/>
        <v>450</v>
      </c>
      <c r="K418" s="5">
        <f t="shared" si="101"/>
        <v>9999.9999999999982</v>
      </c>
      <c r="L418" s="2">
        <v>1</v>
      </c>
      <c r="M418" s="37">
        <f t="shared" si="102"/>
        <v>1</v>
      </c>
      <c r="N418" s="2"/>
      <c r="O418" s="32"/>
      <c r="P418" s="32"/>
      <c r="Q418" s="2"/>
      <c r="R418" s="2"/>
      <c r="S418" s="2"/>
      <c r="T418" s="2"/>
      <c r="U418" s="37">
        <f t="shared" si="99"/>
        <v>1</v>
      </c>
      <c r="V418" s="34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</row>
    <row r="419" spans="1:86" ht="28.8">
      <c r="A419" s="35" t="s">
        <v>284</v>
      </c>
      <c r="B419" s="1" t="s">
        <v>285</v>
      </c>
      <c r="C419" s="1" t="s">
        <v>285</v>
      </c>
      <c r="D419" s="1" t="s">
        <v>257</v>
      </c>
      <c r="E419" s="2" t="s">
        <v>262</v>
      </c>
      <c r="F419" s="2">
        <v>45</v>
      </c>
      <c r="G419" s="2" t="s">
        <v>263</v>
      </c>
      <c r="H419" s="2">
        <v>101</v>
      </c>
      <c r="I419" s="2">
        <v>546</v>
      </c>
      <c r="J419" s="12">
        <f t="shared" si="100"/>
        <v>546</v>
      </c>
      <c r="K419" s="5">
        <f t="shared" si="101"/>
        <v>12013.201320132011</v>
      </c>
      <c r="L419" s="2">
        <v>1</v>
      </c>
      <c r="M419" s="37">
        <f t="shared" si="102"/>
        <v>1</v>
      </c>
      <c r="N419" s="2"/>
      <c r="O419" s="32"/>
      <c r="P419" s="32"/>
      <c r="Q419" s="2"/>
      <c r="R419" s="2"/>
      <c r="S419" s="2"/>
      <c r="T419" s="2"/>
      <c r="U419" s="37">
        <f t="shared" si="99"/>
        <v>1</v>
      </c>
      <c r="V419" s="34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</row>
    <row r="420" spans="1:86" ht="28.8">
      <c r="A420" s="35" t="s">
        <v>284</v>
      </c>
      <c r="B420" s="1" t="s">
        <v>265</v>
      </c>
      <c r="C420" s="1" t="s">
        <v>265</v>
      </c>
      <c r="D420" s="1" t="s">
        <v>257</v>
      </c>
      <c r="E420" s="2" t="s">
        <v>258</v>
      </c>
      <c r="F420" s="2">
        <v>170</v>
      </c>
      <c r="G420" s="2" t="s">
        <v>259</v>
      </c>
      <c r="H420" s="2">
        <v>170</v>
      </c>
      <c r="I420" s="2">
        <v>1830</v>
      </c>
      <c r="J420" s="12">
        <f t="shared" si="100"/>
        <v>1830</v>
      </c>
      <c r="K420" s="5">
        <f t="shared" si="101"/>
        <v>6332.1799307958472</v>
      </c>
      <c r="L420" s="2">
        <v>1</v>
      </c>
      <c r="M420" s="37">
        <f t="shared" si="102"/>
        <v>1</v>
      </c>
      <c r="N420" s="2"/>
      <c r="O420" s="32"/>
      <c r="P420" s="32"/>
      <c r="Q420" s="2"/>
      <c r="R420" s="2"/>
      <c r="S420" s="2"/>
      <c r="T420" s="2"/>
      <c r="U420" s="37">
        <f t="shared" si="99"/>
        <v>1</v>
      </c>
      <c r="V420" s="34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</row>
    <row r="421" spans="1:86" ht="28.8">
      <c r="A421" s="35" t="s">
        <v>284</v>
      </c>
      <c r="B421" s="1" t="s">
        <v>265</v>
      </c>
      <c r="C421" s="1" t="s">
        <v>265</v>
      </c>
      <c r="D421" s="1" t="s">
        <v>257</v>
      </c>
      <c r="E421" s="2" t="s">
        <v>258</v>
      </c>
      <c r="F421" s="2">
        <v>170</v>
      </c>
      <c r="G421" s="2" t="s">
        <v>259</v>
      </c>
      <c r="H421" s="2">
        <v>170</v>
      </c>
      <c r="I421" s="2">
        <v>1850</v>
      </c>
      <c r="J421" s="12">
        <f t="shared" si="100"/>
        <v>1850</v>
      </c>
      <c r="K421" s="5">
        <f t="shared" si="101"/>
        <v>6401.3840830449817</v>
      </c>
      <c r="L421" s="2">
        <v>1</v>
      </c>
      <c r="M421" s="37">
        <f t="shared" si="102"/>
        <v>1</v>
      </c>
      <c r="N421" s="2"/>
      <c r="O421" s="32"/>
      <c r="P421" s="32"/>
      <c r="Q421" s="2"/>
      <c r="R421" s="2"/>
      <c r="S421" s="2"/>
      <c r="T421" s="2"/>
      <c r="U421" s="37">
        <f t="shared" si="99"/>
        <v>1</v>
      </c>
      <c r="V421" s="34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</row>
    <row r="422" spans="1:86" ht="28.8">
      <c r="A422" s="35" t="s">
        <v>284</v>
      </c>
      <c r="B422" s="1" t="s">
        <v>261</v>
      </c>
      <c r="C422" s="1" t="s">
        <v>261</v>
      </c>
      <c r="D422" s="1" t="s">
        <v>257</v>
      </c>
      <c r="E422" s="2" t="s">
        <v>262</v>
      </c>
      <c r="F422" s="2">
        <v>45</v>
      </c>
      <c r="G422" s="2" t="s">
        <v>263</v>
      </c>
      <c r="H422" s="2">
        <v>40</v>
      </c>
      <c r="I422" s="2">
        <v>180</v>
      </c>
      <c r="J422" s="12">
        <f t="shared" si="100"/>
        <v>540</v>
      </c>
      <c r="K422" s="5">
        <f t="shared" si="101"/>
        <v>29999.999999999996</v>
      </c>
      <c r="L422" s="2">
        <v>3</v>
      </c>
      <c r="M422" s="37">
        <f t="shared" si="102"/>
        <v>3</v>
      </c>
      <c r="N422" s="2"/>
      <c r="O422" s="32"/>
      <c r="P422" s="32"/>
      <c r="Q422" s="2"/>
      <c r="R422" s="2"/>
      <c r="S422" s="2"/>
      <c r="T422" s="2"/>
      <c r="U422" s="37">
        <f t="shared" si="99"/>
        <v>3</v>
      </c>
      <c r="V422" s="34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</row>
    <row r="423" spans="1:86" ht="28.8">
      <c r="A423" s="35" t="s">
        <v>284</v>
      </c>
      <c r="B423" s="1" t="s">
        <v>261</v>
      </c>
      <c r="C423" s="1" t="s">
        <v>261</v>
      </c>
      <c r="D423" s="1" t="s">
        <v>257</v>
      </c>
      <c r="E423" s="2" t="s">
        <v>262</v>
      </c>
      <c r="F423" s="2">
        <v>45</v>
      </c>
      <c r="G423" s="2" t="s">
        <v>263</v>
      </c>
      <c r="H423" s="2">
        <v>40</v>
      </c>
      <c r="I423" s="2">
        <v>180</v>
      </c>
      <c r="J423" s="12">
        <f t="shared" si="100"/>
        <v>180</v>
      </c>
      <c r="K423" s="5">
        <f t="shared" si="101"/>
        <v>9999.9999999999982</v>
      </c>
      <c r="L423" s="2">
        <v>1</v>
      </c>
      <c r="M423" s="37">
        <f t="shared" si="102"/>
        <v>1</v>
      </c>
      <c r="N423" s="2"/>
      <c r="O423" s="32"/>
      <c r="P423" s="32"/>
      <c r="Q423" s="2"/>
      <c r="R423" s="2"/>
      <c r="S423" s="2"/>
      <c r="T423" s="2"/>
      <c r="U423" s="37">
        <f t="shared" si="99"/>
        <v>1</v>
      </c>
      <c r="V423" s="34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</row>
    <row r="424" spans="1:86" ht="28.8">
      <c r="A424" s="35" t="s">
        <v>284</v>
      </c>
      <c r="B424" s="1" t="s">
        <v>261</v>
      </c>
      <c r="C424" s="1" t="s">
        <v>261</v>
      </c>
      <c r="D424" s="1" t="s">
        <v>257</v>
      </c>
      <c r="E424" s="2" t="s">
        <v>262</v>
      </c>
      <c r="F424" s="2">
        <v>45</v>
      </c>
      <c r="G424" s="2" t="s">
        <v>263</v>
      </c>
      <c r="H424" s="2">
        <v>40</v>
      </c>
      <c r="I424" s="2">
        <v>126</v>
      </c>
      <c r="J424" s="12">
        <f t="shared" si="100"/>
        <v>252</v>
      </c>
      <c r="K424" s="5">
        <f t="shared" si="101"/>
        <v>13999.999999999998</v>
      </c>
      <c r="L424" s="2">
        <v>2</v>
      </c>
      <c r="M424" s="37">
        <f t="shared" si="102"/>
        <v>2</v>
      </c>
      <c r="N424" s="2"/>
      <c r="O424" s="32"/>
      <c r="P424" s="32"/>
      <c r="Q424" s="2"/>
      <c r="R424" s="2"/>
      <c r="S424" s="2"/>
      <c r="T424" s="2"/>
      <c r="U424" s="37">
        <f t="shared" si="99"/>
        <v>2</v>
      </c>
      <c r="V424" s="34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</row>
    <row r="425" spans="1:86" ht="28.8">
      <c r="A425" s="35" t="s">
        <v>284</v>
      </c>
      <c r="B425" s="1" t="s">
        <v>261</v>
      </c>
      <c r="C425" s="1" t="s">
        <v>261</v>
      </c>
      <c r="D425" s="1" t="s">
        <v>257</v>
      </c>
      <c r="E425" s="2" t="s">
        <v>262</v>
      </c>
      <c r="F425" s="2">
        <v>45</v>
      </c>
      <c r="G425" s="2" t="s">
        <v>263</v>
      </c>
      <c r="H425" s="2">
        <v>40</v>
      </c>
      <c r="I425" s="2">
        <v>198</v>
      </c>
      <c r="J425" s="12">
        <f t="shared" si="100"/>
        <v>396</v>
      </c>
      <c r="K425" s="5">
        <f t="shared" si="101"/>
        <v>21999.999999999996</v>
      </c>
      <c r="L425" s="2">
        <v>2</v>
      </c>
      <c r="M425" s="37">
        <f t="shared" si="102"/>
        <v>2</v>
      </c>
      <c r="N425" s="2"/>
      <c r="O425" s="32"/>
      <c r="P425" s="32"/>
      <c r="Q425" s="2"/>
      <c r="R425" s="2"/>
      <c r="S425" s="2"/>
      <c r="T425" s="2"/>
      <c r="U425" s="37">
        <f t="shared" si="99"/>
        <v>2</v>
      </c>
      <c r="V425" s="34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</row>
    <row r="426" spans="1:86" ht="28.8">
      <c r="A426" s="35" t="s">
        <v>284</v>
      </c>
      <c r="B426" s="1" t="s">
        <v>261</v>
      </c>
      <c r="C426" s="1" t="s">
        <v>261</v>
      </c>
      <c r="D426" s="1" t="s">
        <v>257</v>
      </c>
      <c r="E426" s="2" t="s">
        <v>262</v>
      </c>
      <c r="F426" s="2">
        <v>45</v>
      </c>
      <c r="G426" s="2" t="s">
        <v>263</v>
      </c>
      <c r="H426" s="2">
        <v>40</v>
      </c>
      <c r="I426" s="2">
        <v>198</v>
      </c>
      <c r="J426" s="12">
        <f t="shared" ref="J426:J441" si="103">IFERROR(IF(AND(V426=3,U426&gt;0),I426,I426*U426),"Verify")</f>
        <v>792</v>
      </c>
      <c r="K426" s="5">
        <f t="shared" ref="K426:K441" si="104">+J426/(F426*H426*10^-5)</f>
        <v>43999.999999999993</v>
      </c>
      <c r="L426" s="2">
        <v>4</v>
      </c>
      <c r="M426" s="37">
        <f t="shared" ref="M426:M441" si="105">+L426-X426-Z426-AD426-AB426-AF426-AH426-AJ426-AL426-AO426-AQ426-AS426-AU426-AW426-AY426-BA426-BC426-BE426-BG426-BI426-BK426-BM426-BO426-BQ426-BS426-BU426-BW426-BY426-CA426-CC426-CE426-CG426</f>
        <v>4</v>
      </c>
      <c r="N426" s="2"/>
      <c r="O426" s="32"/>
      <c r="P426" s="32"/>
      <c r="Q426" s="2"/>
      <c r="R426" s="2"/>
      <c r="S426" s="2"/>
      <c r="T426" s="2"/>
      <c r="U426" s="37">
        <f t="shared" si="99"/>
        <v>4</v>
      </c>
      <c r="V426" s="34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</row>
    <row r="427" spans="1:86" ht="28.8">
      <c r="A427" s="35" t="s">
        <v>284</v>
      </c>
      <c r="B427" s="1"/>
      <c r="C427" s="1"/>
      <c r="D427" s="1" t="s">
        <v>257</v>
      </c>
      <c r="E427" s="2" t="s">
        <v>245</v>
      </c>
      <c r="F427" s="2">
        <v>95</v>
      </c>
      <c r="G427" s="2" t="s">
        <v>247</v>
      </c>
      <c r="H427" s="2">
        <v>36</v>
      </c>
      <c r="I427" s="2">
        <v>396</v>
      </c>
      <c r="J427" s="12">
        <f t="shared" si="103"/>
        <v>396</v>
      </c>
      <c r="K427" s="5">
        <f t="shared" si="104"/>
        <v>11578.947368421052</v>
      </c>
      <c r="L427" s="2">
        <v>1</v>
      </c>
      <c r="M427" s="37">
        <f t="shared" si="105"/>
        <v>1</v>
      </c>
      <c r="N427" s="2"/>
      <c r="O427" s="32"/>
      <c r="P427" s="32"/>
      <c r="Q427" s="2"/>
      <c r="R427" s="2"/>
      <c r="S427" s="2"/>
      <c r="T427" s="2"/>
      <c r="U427" s="37">
        <f t="shared" si="99"/>
        <v>1</v>
      </c>
      <c r="V427" s="34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</row>
    <row r="428" spans="1:86" ht="28.8">
      <c r="A428" s="35" t="s">
        <v>284</v>
      </c>
      <c r="B428" s="1"/>
      <c r="C428" s="1"/>
      <c r="D428" s="1" t="s">
        <v>257</v>
      </c>
      <c r="E428" s="2" t="s">
        <v>245</v>
      </c>
      <c r="F428" s="2">
        <v>90</v>
      </c>
      <c r="G428" s="2" t="s">
        <v>247</v>
      </c>
      <c r="H428" s="2">
        <v>37</v>
      </c>
      <c r="I428" s="2">
        <v>404</v>
      </c>
      <c r="J428" s="12">
        <f t="shared" si="103"/>
        <v>404</v>
      </c>
      <c r="K428" s="5">
        <f t="shared" si="104"/>
        <v>12132.13213213213</v>
      </c>
      <c r="L428" s="2">
        <v>1</v>
      </c>
      <c r="M428" s="37">
        <f t="shared" si="105"/>
        <v>1</v>
      </c>
      <c r="N428" s="2"/>
      <c r="O428" s="32"/>
      <c r="P428" s="32"/>
      <c r="Q428" s="2"/>
      <c r="R428" s="2"/>
      <c r="S428" s="2"/>
      <c r="T428" s="2"/>
      <c r="U428" s="37">
        <f t="shared" si="99"/>
        <v>1</v>
      </c>
      <c r="V428" s="34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</row>
    <row r="429" spans="1:86" ht="28.8">
      <c r="A429" s="35" t="s">
        <v>284</v>
      </c>
      <c r="B429" s="1"/>
      <c r="C429" s="1"/>
      <c r="D429" s="1" t="s">
        <v>257</v>
      </c>
      <c r="E429" s="2" t="s">
        <v>245</v>
      </c>
      <c r="F429" s="2">
        <v>90</v>
      </c>
      <c r="G429" s="2" t="s">
        <v>247</v>
      </c>
      <c r="H429" s="2">
        <v>37</v>
      </c>
      <c r="I429" s="2">
        <v>412</v>
      </c>
      <c r="J429" s="12">
        <f t="shared" si="103"/>
        <v>412</v>
      </c>
      <c r="K429" s="5">
        <f t="shared" si="104"/>
        <v>12372.372372372371</v>
      </c>
      <c r="L429" s="2">
        <v>1</v>
      </c>
      <c r="M429" s="37">
        <f t="shared" si="105"/>
        <v>1</v>
      </c>
      <c r="N429" s="2"/>
      <c r="O429" s="32"/>
      <c r="P429" s="32"/>
      <c r="Q429" s="2"/>
      <c r="R429" s="2"/>
      <c r="S429" s="2"/>
      <c r="T429" s="2"/>
      <c r="U429" s="37">
        <f t="shared" si="99"/>
        <v>1</v>
      </c>
      <c r="V429" s="34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</row>
    <row r="430" spans="1:86" ht="28.8">
      <c r="A430" s="35" t="s">
        <v>284</v>
      </c>
      <c r="B430" s="1"/>
      <c r="C430" s="1"/>
      <c r="D430" s="1" t="s">
        <v>257</v>
      </c>
      <c r="E430" s="2" t="s">
        <v>245</v>
      </c>
      <c r="F430" s="2">
        <v>95</v>
      </c>
      <c r="G430" s="2" t="s">
        <v>247</v>
      </c>
      <c r="H430" s="2">
        <v>38</v>
      </c>
      <c r="I430" s="2">
        <v>410</v>
      </c>
      <c r="J430" s="12">
        <f t="shared" si="103"/>
        <v>410</v>
      </c>
      <c r="K430" s="5">
        <f t="shared" si="104"/>
        <v>11357.340720221606</v>
      </c>
      <c r="L430" s="2">
        <v>1</v>
      </c>
      <c r="M430" s="37">
        <f t="shared" si="105"/>
        <v>1</v>
      </c>
      <c r="N430" s="2"/>
      <c r="O430" s="32"/>
      <c r="P430" s="32"/>
      <c r="Q430" s="2"/>
      <c r="R430" s="2"/>
      <c r="S430" s="2"/>
      <c r="T430" s="2"/>
      <c r="U430" s="37">
        <f t="shared" si="99"/>
        <v>1</v>
      </c>
      <c r="V430" s="34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</row>
    <row r="431" spans="1:86" ht="28.8">
      <c r="A431" s="35" t="s">
        <v>284</v>
      </c>
      <c r="B431" s="1"/>
      <c r="C431" s="1"/>
      <c r="D431" s="1" t="s">
        <v>257</v>
      </c>
      <c r="E431" s="2" t="s">
        <v>245</v>
      </c>
      <c r="F431" s="2">
        <v>90</v>
      </c>
      <c r="G431" s="2" t="s">
        <v>247</v>
      </c>
      <c r="H431" s="2">
        <v>37</v>
      </c>
      <c r="I431" s="2">
        <v>399</v>
      </c>
      <c r="J431" s="12">
        <f t="shared" si="103"/>
        <v>798</v>
      </c>
      <c r="K431" s="5">
        <f t="shared" si="104"/>
        <v>23963.963963963961</v>
      </c>
      <c r="L431" s="2">
        <v>2</v>
      </c>
      <c r="M431" s="37">
        <f t="shared" si="105"/>
        <v>2</v>
      </c>
      <c r="N431" s="2"/>
      <c r="O431" s="32"/>
      <c r="P431" s="32"/>
      <c r="Q431" s="2"/>
      <c r="R431" s="2"/>
      <c r="S431" s="2"/>
      <c r="T431" s="2"/>
      <c r="U431" s="37">
        <f t="shared" si="99"/>
        <v>2</v>
      </c>
      <c r="V431" s="34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</row>
    <row r="432" spans="1:86" ht="28.8">
      <c r="A432" s="35" t="s">
        <v>284</v>
      </c>
      <c r="B432" s="1"/>
      <c r="C432" s="1"/>
      <c r="D432" s="1" t="s">
        <v>257</v>
      </c>
      <c r="E432" s="2" t="s">
        <v>245</v>
      </c>
      <c r="F432" s="2">
        <v>90</v>
      </c>
      <c r="G432" s="2" t="s">
        <v>247</v>
      </c>
      <c r="H432" s="2">
        <v>37</v>
      </c>
      <c r="I432" s="2">
        <v>403</v>
      </c>
      <c r="J432" s="12">
        <f t="shared" si="103"/>
        <v>403</v>
      </c>
      <c r="K432" s="5">
        <f t="shared" si="104"/>
        <v>12102.102102102101</v>
      </c>
      <c r="L432" s="2">
        <v>1</v>
      </c>
      <c r="M432" s="37">
        <f t="shared" si="105"/>
        <v>1</v>
      </c>
      <c r="N432" s="2"/>
      <c r="O432" s="32"/>
      <c r="P432" s="32"/>
      <c r="Q432" s="2"/>
      <c r="R432" s="2"/>
      <c r="S432" s="2"/>
      <c r="T432" s="2"/>
      <c r="U432" s="37">
        <f t="shared" si="99"/>
        <v>1</v>
      </c>
      <c r="V432" s="34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</row>
    <row r="433" spans="1:86" ht="28.8">
      <c r="A433" s="35" t="s">
        <v>284</v>
      </c>
      <c r="B433" s="1"/>
      <c r="C433" s="1"/>
      <c r="D433" s="1" t="s">
        <v>257</v>
      </c>
      <c r="E433" s="2" t="s">
        <v>245</v>
      </c>
      <c r="F433" s="2">
        <v>90</v>
      </c>
      <c r="G433" s="2" t="s">
        <v>247</v>
      </c>
      <c r="H433" s="2">
        <v>37</v>
      </c>
      <c r="I433" s="2">
        <v>401</v>
      </c>
      <c r="J433" s="12">
        <f t="shared" si="103"/>
        <v>802</v>
      </c>
      <c r="K433" s="5">
        <f t="shared" si="104"/>
        <v>24084.084084084083</v>
      </c>
      <c r="L433" s="2">
        <v>2</v>
      </c>
      <c r="M433" s="37">
        <f t="shared" si="105"/>
        <v>2</v>
      </c>
      <c r="N433" s="2"/>
      <c r="O433" s="32"/>
      <c r="P433" s="32"/>
      <c r="Q433" s="2"/>
      <c r="R433" s="2"/>
      <c r="S433" s="2"/>
      <c r="T433" s="2"/>
      <c r="U433" s="37">
        <f t="shared" si="99"/>
        <v>2</v>
      </c>
      <c r="V433" s="34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</row>
    <row r="434" spans="1:86" ht="28.8">
      <c r="A434" s="35" t="s">
        <v>284</v>
      </c>
      <c r="B434" s="1"/>
      <c r="C434" s="1"/>
      <c r="D434" s="1" t="s">
        <v>257</v>
      </c>
      <c r="E434" s="2" t="s">
        <v>245</v>
      </c>
      <c r="F434" s="2">
        <v>90</v>
      </c>
      <c r="G434" s="2" t="s">
        <v>247</v>
      </c>
      <c r="H434" s="2">
        <v>37</v>
      </c>
      <c r="I434" s="2">
        <v>398</v>
      </c>
      <c r="J434" s="12">
        <f t="shared" si="103"/>
        <v>796</v>
      </c>
      <c r="K434" s="5">
        <f t="shared" si="104"/>
        <v>23903.903903903902</v>
      </c>
      <c r="L434" s="2">
        <v>2</v>
      </c>
      <c r="M434" s="37">
        <f t="shared" si="105"/>
        <v>2</v>
      </c>
      <c r="N434" s="2"/>
      <c r="O434" s="32"/>
      <c r="P434" s="32"/>
      <c r="Q434" s="2"/>
      <c r="R434" s="2"/>
      <c r="S434" s="2"/>
      <c r="T434" s="2"/>
      <c r="U434" s="37">
        <f t="shared" si="99"/>
        <v>2</v>
      </c>
      <c r="V434" s="34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</row>
    <row r="435" spans="1:86" ht="28.8">
      <c r="A435" s="35" t="s">
        <v>284</v>
      </c>
      <c r="B435" s="1"/>
      <c r="C435" s="1"/>
      <c r="D435" s="1" t="s">
        <v>257</v>
      </c>
      <c r="E435" s="2" t="s">
        <v>245</v>
      </c>
      <c r="F435" s="2">
        <v>90</v>
      </c>
      <c r="G435" s="2" t="s">
        <v>247</v>
      </c>
      <c r="H435" s="2">
        <v>35</v>
      </c>
      <c r="I435" s="2">
        <v>367</v>
      </c>
      <c r="J435" s="12">
        <f t="shared" si="103"/>
        <v>367</v>
      </c>
      <c r="K435" s="5">
        <f t="shared" si="104"/>
        <v>11650.79365079365</v>
      </c>
      <c r="L435" s="2">
        <v>1</v>
      </c>
      <c r="M435" s="37">
        <f t="shared" si="105"/>
        <v>1</v>
      </c>
      <c r="N435" s="2"/>
      <c r="O435" s="32"/>
      <c r="P435" s="32"/>
      <c r="Q435" s="2"/>
      <c r="R435" s="2"/>
      <c r="S435" s="2"/>
      <c r="T435" s="2"/>
      <c r="U435" s="37">
        <f t="shared" si="99"/>
        <v>1</v>
      </c>
      <c r="V435" s="34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</row>
    <row r="436" spans="1:86" ht="28.8">
      <c r="A436" s="35" t="s">
        <v>284</v>
      </c>
      <c r="B436" s="1"/>
      <c r="C436" s="1"/>
      <c r="D436" s="1" t="s">
        <v>257</v>
      </c>
      <c r="E436" s="2" t="s">
        <v>245</v>
      </c>
      <c r="F436" s="2">
        <v>90</v>
      </c>
      <c r="G436" s="2" t="s">
        <v>247</v>
      </c>
      <c r="H436" s="2">
        <v>36</v>
      </c>
      <c r="I436" s="2">
        <v>393</v>
      </c>
      <c r="J436" s="12">
        <f t="shared" si="103"/>
        <v>393</v>
      </c>
      <c r="K436" s="5">
        <f t="shared" si="104"/>
        <v>12129.629629629628</v>
      </c>
      <c r="L436" s="2">
        <v>1</v>
      </c>
      <c r="M436" s="37">
        <f t="shared" si="105"/>
        <v>1</v>
      </c>
      <c r="N436" s="2"/>
      <c r="O436" s="32"/>
      <c r="P436" s="32"/>
      <c r="Q436" s="2"/>
      <c r="R436" s="2"/>
      <c r="S436" s="2"/>
      <c r="T436" s="2"/>
      <c r="U436" s="37">
        <f t="shared" si="99"/>
        <v>1</v>
      </c>
      <c r="V436" s="34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</row>
    <row r="437" spans="1:86" ht="28.8">
      <c r="A437" s="35" t="s">
        <v>284</v>
      </c>
      <c r="B437" s="1"/>
      <c r="C437" s="1"/>
      <c r="D437" s="1" t="s">
        <v>257</v>
      </c>
      <c r="E437" s="2" t="s">
        <v>245</v>
      </c>
      <c r="F437" s="2">
        <v>90</v>
      </c>
      <c r="G437" s="2" t="s">
        <v>247</v>
      </c>
      <c r="H437" s="2">
        <v>36</v>
      </c>
      <c r="I437" s="2">
        <v>394</v>
      </c>
      <c r="J437" s="12">
        <f t="shared" si="103"/>
        <v>394</v>
      </c>
      <c r="K437" s="5">
        <f t="shared" si="104"/>
        <v>12160.493827160491</v>
      </c>
      <c r="L437" s="2">
        <v>1</v>
      </c>
      <c r="M437" s="37">
        <f t="shared" si="105"/>
        <v>1</v>
      </c>
      <c r="N437" s="2"/>
      <c r="O437" s="32"/>
      <c r="P437" s="32"/>
      <c r="Q437" s="2"/>
      <c r="R437" s="2"/>
      <c r="S437" s="2"/>
      <c r="T437" s="2"/>
      <c r="U437" s="37">
        <f t="shared" si="99"/>
        <v>1</v>
      </c>
      <c r="V437" s="34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</row>
    <row r="438" spans="1:86" ht="28.8">
      <c r="A438" s="35" t="s">
        <v>284</v>
      </c>
      <c r="B438" s="1"/>
      <c r="C438" s="1"/>
      <c r="D438" s="1" t="s">
        <v>257</v>
      </c>
      <c r="E438" s="2" t="s">
        <v>245</v>
      </c>
      <c r="F438" s="2">
        <v>95</v>
      </c>
      <c r="G438" s="2" t="s">
        <v>247</v>
      </c>
      <c r="H438" s="2">
        <v>37</v>
      </c>
      <c r="I438" s="2">
        <v>405</v>
      </c>
      <c r="J438" s="12">
        <f t="shared" si="103"/>
        <v>405</v>
      </c>
      <c r="K438" s="5">
        <f t="shared" si="104"/>
        <v>11522.048364153627</v>
      </c>
      <c r="L438" s="2">
        <v>1</v>
      </c>
      <c r="M438" s="37">
        <f t="shared" si="105"/>
        <v>1</v>
      </c>
      <c r="N438" s="2"/>
      <c r="O438" s="32"/>
      <c r="P438" s="32"/>
      <c r="Q438" s="2"/>
      <c r="R438" s="2"/>
      <c r="S438" s="2"/>
      <c r="T438" s="2"/>
      <c r="U438" s="37">
        <f t="shared" si="99"/>
        <v>1</v>
      </c>
      <c r="V438" s="34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</row>
    <row r="439" spans="1:86" ht="28.8">
      <c r="A439" s="35" t="s">
        <v>284</v>
      </c>
      <c r="B439" s="1"/>
      <c r="C439" s="1"/>
      <c r="D439" s="1" t="s">
        <v>257</v>
      </c>
      <c r="E439" s="2" t="s">
        <v>245</v>
      </c>
      <c r="F439" s="2">
        <v>90</v>
      </c>
      <c r="G439" s="2" t="s">
        <v>247</v>
      </c>
      <c r="H439" s="2">
        <v>37</v>
      </c>
      <c r="I439" s="2">
        <v>386</v>
      </c>
      <c r="J439" s="12">
        <f t="shared" si="103"/>
        <v>386</v>
      </c>
      <c r="K439" s="5">
        <f t="shared" si="104"/>
        <v>11591.59159159159</v>
      </c>
      <c r="L439" s="2">
        <v>1</v>
      </c>
      <c r="M439" s="37">
        <f t="shared" si="105"/>
        <v>1</v>
      </c>
      <c r="N439" s="2"/>
      <c r="O439" s="32"/>
      <c r="P439" s="32"/>
      <c r="Q439" s="2"/>
      <c r="R439" s="2"/>
      <c r="S439" s="2"/>
      <c r="T439" s="2"/>
      <c r="U439" s="37">
        <f t="shared" si="99"/>
        <v>1</v>
      </c>
      <c r="V439" s="34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</row>
    <row r="440" spans="1:86" ht="28.8">
      <c r="A440" s="35" t="s">
        <v>284</v>
      </c>
      <c r="B440" s="1"/>
      <c r="C440" s="1"/>
      <c r="D440" s="1" t="s">
        <v>257</v>
      </c>
      <c r="E440" s="2" t="s">
        <v>245</v>
      </c>
      <c r="F440" s="2">
        <v>90</v>
      </c>
      <c r="G440" s="2" t="s">
        <v>247</v>
      </c>
      <c r="H440" s="2">
        <v>36</v>
      </c>
      <c r="I440" s="2">
        <v>389</v>
      </c>
      <c r="J440" s="12">
        <f t="shared" si="103"/>
        <v>389</v>
      </c>
      <c r="K440" s="5">
        <f t="shared" si="104"/>
        <v>12006.172839506171</v>
      </c>
      <c r="L440" s="2">
        <v>1</v>
      </c>
      <c r="M440" s="37">
        <f t="shared" si="105"/>
        <v>1</v>
      </c>
      <c r="N440" s="2"/>
      <c r="O440" s="32"/>
      <c r="P440" s="32"/>
      <c r="Q440" s="2"/>
      <c r="R440" s="2"/>
      <c r="S440" s="2"/>
      <c r="T440" s="2"/>
      <c r="U440" s="37">
        <f t="shared" si="99"/>
        <v>1</v>
      </c>
      <c r="V440" s="34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</row>
    <row r="441" spans="1:86" ht="28.8">
      <c r="A441" s="35" t="s">
        <v>284</v>
      </c>
      <c r="B441" s="1"/>
      <c r="C441" s="1"/>
      <c r="D441" s="1" t="s">
        <v>257</v>
      </c>
      <c r="E441" s="2" t="s">
        <v>245</v>
      </c>
      <c r="F441" s="2">
        <v>90</v>
      </c>
      <c r="G441" s="2" t="s">
        <v>247</v>
      </c>
      <c r="H441" s="2">
        <v>36</v>
      </c>
      <c r="I441" s="2">
        <v>398</v>
      </c>
      <c r="J441" s="12">
        <f t="shared" si="103"/>
        <v>398</v>
      </c>
      <c r="K441" s="5">
        <f t="shared" si="104"/>
        <v>12283.950617283948</v>
      </c>
      <c r="L441" s="2">
        <v>1</v>
      </c>
      <c r="M441" s="37">
        <f t="shared" si="105"/>
        <v>1</v>
      </c>
      <c r="N441" s="2"/>
      <c r="O441" s="32"/>
      <c r="P441" s="32"/>
      <c r="Q441" s="2"/>
      <c r="R441" s="2"/>
      <c r="S441" s="2"/>
      <c r="T441" s="2"/>
      <c r="U441" s="37">
        <f t="shared" si="99"/>
        <v>1</v>
      </c>
      <c r="V441" s="34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</row>
    <row r="442" spans="1:86" ht="28.8">
      <c r="A442" s="35" t="s">
        <v>286</v>
      </c>
      <c r="B442" s="1" t="s">
        <v>288</v>
      </c>
      <c r="C442" s="1" t="s">
        <v>289</v>
      </c>
      <c r="D442" s="1" t="s">
        <v>257</v>
      </c>
      <c r="E442" s="2" t="s">
        <v>290</v>
      </c>
      <c r="F442" s="2">
        <v>75</v>
      </c>
      <c r="G442" s="2" t="s">
        <v>287</v>
      </c>
      <c r="H442" s="2">
        <v>103</v>
      </c>
      <c r="I442" s="2">
        <v>350</v>
      </c>
      <c r="J442" s="12">
        <f t="shared" ref="J442:J445" si="106">IFERROR(IF(AND(V442=3,U442&gt;0),I442,I442*U442),"Verify")</f>
        <v>350</v>
      </c>
      <c r="K442" s="5">
        <f t="shared" ref="K442:K445" si="107">+J442/(F442*H442*10^-5)</f>
        <v>4530.7443365695781</v>
      </c>
      <c r="L442" s="2">
        <v>1</v>
      </c>
      <c r="M442" s="37">
        <f t="shared" ref="M442:M444" si="108">+L442-X442-Z442-AD442-AB442-AF442-AH442-AJ442-AL442-AO442-AQ442-AS442-AU442-AW442-AY442-BA442-BC442-BE442-BG442-BI442-BK442-BM442-BO442-BQ442-BS442-BU442-BW442-BY442-CA442-CC442-CE442-CG442</f>
        <v>1</v>
      </c>
      <c r="N442" s="2"/>
      <c r="O442" s="32"/>
      <c r="P442" s="32"/>
      <c r="Q442" s="2"/>
      <c r="R442" s="2"/>
      <c r="S442" s="2"/>
      <c r="T442" s="2"/>
      <c r="U442" s="37">
        <f t="shared" si="99"/>
        <v>1</v>
      </c>
      <c r="V442" s="34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</row>
    <row r="443" spans="1:86" ht="28.8">
      <c r="A443" s="35" t="s">
        <v>286</v>
      </c>
      <c r="B443" s="1" t="s">
        <v>288</v>
      </c>
      <c r="C443" s="1" t="s">
        <v>289</v>
      </c>
      <c r="D443" s="1" t="s">
        <v>257</v>
      </c>
      <c r="E443" s="2" t="s">
        <v>290</v>
      </c>
      <c r="F443" s="2">
        <v>75</v>
      </c>
      <c r="G443" s="2" t="s">
        <v>287</v>
      </c>
      <c r="H443" s="2">
        <v>103</v>
      </c>
      <c r="I443" s="2">
        <v>528</v>
      </c>
      <c r="J443" s="12">
        <f t="shared" si="106"/>
        <v>528</v>
      </c>
      <c r="K443" s="5">
        <f t="shared" si="107"/>
        <v>6834.9514563106786</v>
      </c>
      <c r="L443" s="2">
        <v>1</v>
      </c>
      <c r="M443" s="37">
        <f t="shared" si="108"/>
        <v>1</v>
      </c>
      <c r="N443" s="2"/>
      <c r="O443" s="32"/>
      <c r="P443" s="32"/>
      <c r="Q443" s="2"/>
      <c r="R443" s="2"/>
      <c r="S443" s="2"/>
      <c r="T443" s="2"/>
      <c r="U443" s="37">
        <f t="shared" ref="U443:U486" si="109">+L443-X443-Z443-AD443-AB443-AF443-AH443-AJ443-AL443-AO443-AQ443-AS443-AU443-AW443-AY443-BA443-BC443-BE443-BG443-BI443-BK443-BM443-BO443-BQ443-BS443-BU443-BW443-BY443-CA443-CC443-CE443-CG443</f>
        <v>1</v>
      </c>
      <c r="V443" s="34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</row>
    <row r="444" spans="1:86" ht="28.8">
      <c r="A444" s="35" t="s">
        <v>286</v>
      </c>
      <c r="B444" s="1" t="s">
        <v>291</v>
      </c>
      <c r="C444" s="1" t="s">
        <v>292</v>
      </c>
      <c r="D444" s="1" t="s">
        <v>257</v>
      </c>
      <c r="E444" s="2" t="s">
        <v>293</v>
      </c>
      <c r="F444" s="2">
        <v>152</v>
      </c>
      <c r="G444" s="2" t="s">
        <v>294</v>
      </c>
      <c r="H444" s="2">
        <v>155.4</v>
      </c>
      <c r="I444" s="2">
        <v>2361</v>
      </c>
      <c r="J444" s="12">
        <f t="shared" si="106"/>
        <v>2361</v>
      </c>
      <c r="K444" s="5">
        <f t="shared" si="107"/>
        <v>9995.4277585856526</v>
      </c>
      <c r="L444" s="2">
        <v>1</v>
      </c>
      <c r="M444" s="37">
        <f t="shared" si="108"/>
        <v>1</v>
      </c>
      <c r="N444" s="2"/>
      <c r="O444" s="32"/>
      <c r="P444" s="32"/>
      <c r="Q444" s="2"/>
      <c r="R444" s="2"/>
      <c r="S444" s="2"/>
      <c r="T444" s="2"/>
      <c r="U444" s="37">
        <f t="shared" si="109"/>
        <v>1</v>
      </c>
      <c r="V444" s="34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</row>
    <row r="445" spans="1:86" ht="28.8">
      <c r="A445" s="35" t="s">
        <v>286</v>
      </c>
      <c r="B445" s="1" t="s">
        <v>291</v>
      </c>
      <c r="C445" s="1" t="s">
        <v>292</v>
      </c>
      <c r="D445" s="1" t="s">
        <v>257</v>
      </c>
      <c r="E445" s="2" t="s">
        <v>293</v>
      </c>
      <c r="F445" s="2">
        <v>152</v>
      </c>
      <c r="G445" s="2" t="s">
        <v>294</v>
      </c>
      <c r="H445" s="2">
        <v>155.4</v>
      </c>
      <c r="I445" s="2">
        <v>2361</v>
      </c>
      <c r="J445" s="12">
        <f t="shared" si="106"/>
        <v>2361</v>
      </c>
      <c r="K445" s="5">
        <f t="shared" si="107"/>
        <v>9995.4277585856526</v>
      </c>
      <c r="L445" s="2">
        <v>1</v>
      </c>
      <c r="M445" s="37">
        <f t="shared" ref="M445:M459" si="110">+L445-X445-Z445-AD445-AB445-AF445-AH445-AJ445-AL445-AO445-AQ445-AS445-AU445-AW445-AY445-BA445-BC445-BE445-BG445-BI445-BK445-BM445-BO445-BQ445-BS445-BU445-BW445-BY445-CA445-CC445-CE445-CG445</f>
        <v>1</v>
      </c>
      <c r="N445" s="2"/>
      <c r="O445" s="32"/>
      <c r="P445" s="32"/>
      <c r="Q445" s="2"/>
      <c r="R445" s="2"/>
      <c r="S445" s="2"/>
      <c r="T445" s="2"/>
      <c r="U445" s="37">
        <f t="shared" si="109"/>
        <v>1</v>
      </c>
      <c r="V445" s="34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</row>
    <row r="446" spans="1:86" ht="28.8">
      <c r="A446" s="35" t="s">
        <v>295</v>
      </c>
      <c r="B446" s="1" t="s">
        <v>296</v>
      </c>
      <c r="C446" s="1" t="s">
        <v>296</v>
      </c>
      <c r="D446" s="1" t="s">
        <v>257</v>
      </c>
      <c r="E446" s="2" t="s">
        <v>245</v>
      </c>
      <c r="F446" s="2">
        <v>93</v>
      </c>
      <c r="G446" s="2" t="s">
        <v>287</v>
      </c>
      <c r="H446" s="2">
        <v>38.5</v>
      </c>
      <c r="I446" s="2">
        <v>400</v>
      </c>
      <c r="J446" s="12">
        <f t="shared" ref="J446:J453" si="111">IFERROR(IF(AND(V446=3,U446&gt;0),I446,I446*U446),"Verify")</f>
        <v>400</v>
      </c>
      <c r="K446" s="5">
        <f t="shared" ref="K446:K453" si="112">+J446/(F446*H446*10^-5)</f>
        <v>11171.62407484988</v>
      </c>
      <c r="L446" s="2">
        <v>1</v>
      </c>
      <c r="M446" s="37">
        <f t="shared" si="110"/>
        <v>1</v>
      </c>
      <c r="N446" s="2"/>
      <c r="O446" s="32"/>
      <c r="P446" s="32"/>
      <c r="Q446" s="2"/>
      <c r="R446" s="2"/>
      <c r="S446" s="2"/>
      <c r="T446" s="2"/>
      <c r="U446" s="37">
        <f t="shared" si="109"/>
        <v>1</v>
      </c>
      <c r="V446" s="34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</row>
    <row r="447" spans="1:86" ht="28.8">
      <c r="A447" s="35" t="s">
        <v>295</v>
      </c>
      <c r="B447" s="1" t="s">
        <v>288</v>
      </c>
      <c r="C447" s="1" t="s">
        <v>289</v>
      </c>
      <c r="D447" s="1" t="s">
        <v>257</v>
      </c>
      <c r="E447" s="2" t="s">
        <v>290</v>
      </c>
      <c r="F447" s="2">
        <v>75</v>
      </c>
      <c r="G447" s="2" t="s">
        <v>287</v>
      </c>
      <c r="H447" s="2">
        <v>103</v>
      </c>
      <c r="I447" s="2">
        <v>352</v>
      </c>
      <c r="J447" s="12">
        <f t="shared" si="111"/>
        <v>352</v>
      </c>
      <c r="K447" s="5">
        <f t="shared" si="112"/>
        <v>4556.6343042071194</v>
      </c>
      <c r="L447" s="2">
        <v>1</v>
      </c>
      <c r="M447" s="37">
        <f t="shared" si="110"/>
        <v>1</v>
      </c>
      <c r="N447" s="2"/>
      <c r="O447" s="32"/>
      <c r="P447" s="32"/>
      <c r="Q447" s="2"/>
      <c r="R447" s="2"/>
      <c r="S447" s="2"/>
      <c r="T447" s="2"/>
      <c r="U447" s="37">
        <f t="shared" si="109"/>
        <v>1</v>
      </c>
      <c r="V447" s="34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</row>
    <row r="448" spans="1:86" ht="28.8">
      <c r="A448" s="35" t="s">
        <v>295</v>
      </c>
      <c r="B448" s="1" t="s">
        <v>288</v>
      </c>
      <c r="C448" s="1" t="s">
        <v>289</v>
      </c>
      <c r="D448" s="1" t="s">
        <v>257</v>
      </c>
      <c r="E448" s="2" t="s">
        <v>290</v>
      </c>
      <c r="F448" s="2">
        <v>75</v>
      </c>
      <c r="G448" s="2" t="s">
        <v>287</v>
      </c>
      <c r="H448" s="2">
        <v>103</v>
      </c>
      <c r="I448" s="2">
        <v>489</v>
      </c>
      <c r="J448" s="12">
        <f t="shared" si="111"/>
        <v>489</v>
      </c>
      <c r="K448" s="5">
        <f t="shared" si="112"/>
        <v>6330.09708737864</v>
      </c>
      <c r="L448" s="2">
        <v>1</v>
      </c>
      <c r="M448" s="37">
        <f t="shared" si="110"/>
        <v>1</v>
      </c>
      <c r="N448" s="2"/>
      <c r="O448" s="32"/>
      <c r="P448" s="32"/>
      <c r="Q448" s="2"/>
      <c r="R448" s="2"/>
      <c r="S448" s="2"/>
      <c r="T448" s="2"/>
      <c r="U448" s="37">
        <f t="shared" si="109"/>
        <v>1</v>
      </c>
      <c r="V448" s="34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</row>
    <row r="449" spans="1:86" ht="28.8">
      <c r="A449" s="35" t="s">
        <v>295</v>
      </c>
      <c r="B449" s="1" t="s">
        <v>288</v>
      </c>
      <c r="C449" s="1" t="s">
        <v>289</v>
      </c>
      <c r="D449" s="1" t="s">
        <v>257</v>
      </c>
      <c r="E449" s="2" t="s">
        <v>290</v>
      </c>
      <c r="F449" s="2">
        <v>75</v>
      </c>
      <c r="G449" s="2" t="s">
        <v>287</v>
      </c>
      <c r="H449" s="2">
        <v>103</v>
      </c>
      <c r="I449" s="2">
        <v>526</v>
      </c>
      <c r="J449" s="12">
        <f t="shared" si="111"/>
        <v>526</v>
      </c>
      <c r="K449" s="5">
        <f t="shared" si="112"/>
        <v>6809.0614886731382</v>
      </c>
      <c r="L449" s="2">
        <v>1</v>
      </c>
      <c r="M449" s="37">
        <f t="shared" si="110"/>
        <v>1</v>
      </c>
      <c r="N449" s="2"/>
      <c r="O449" s="32"/>
      <c r="P449" s="32"/>
      <c r="Q449" s="2"/>
      <c r="R449" s="2"/>
      <c r="S449" s="2"/>
      <c r="T449" s="2"/>
      <c r="U449" s="37">
        <f t="shared" si="109"/>
        <v>1</v>
      </c>
      <c r="V449" s="34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</row>
    <row r="450" spans="1:86" ht="28.8">
      <c r="A450" s="35" t="s">
        <v>295</v>
      </c>
      <c r="B450" s="1" t="s">
        <v>297</v>
      </c>
      <c r="C450" s="1" t="s">
        <v>298</v>
      </c>
      <c r="D450" s="1" t="s">
        <v>257</v>
      </c>
      <c r="E450" s="2" t="s">
        <v>290</v>
      </c>
      <c r="F450" s="2">
        <v>65</v>
      </c>
      <c r="G450" s="2" t="s">
        <v>287</v>
      </c>
      <c r="H450" s="2">
        <v>103</v>
      </c>
      <c r="I450" s="2">
        <v>236</v>
      </c>
      <c r="J450" s="12">
        <f t="shared" si="111"/>
        <v>236</v>
      </c>
      <c r="K450" s="5">
        <f t="shared" si="112"/>
        <v>3525.0186706497379</v>
      </c>
      <c r="L450" s="2">
        <v>1</v>
      </c>
      <c r="M450" s="37">
        <f t="shared" si="110"/>
        <v>1</v>
      </c>
      <c r="N450" s="2"/>
      <c r="O450" s="32"/>
      <c r="P450" s="32"/>
      <c r="Q450" s="2"/>
      <c r="R450" s="2"/>
      <c r="S450" s="2"/>
      <c r="T450" s="2"/>
      <c r="U450" s="37">
        <f t="shared" si="109"/>
        <v>1</v>
      </c>
      <c r="V450" s="34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</row>
    <row r="451" spans="1:86" ht="28.8">
      <c r="A451" s="35" t="s">
        <v>295</v>
      </c>
      <c r="B451" s="1" t="s">
        <v>297</v>
      </c>
      <c r="C451" s="1" t="s">
        <v>298</v>
      </c>
      <c r="D451" s="1" t="s">
        <v>257</v>
      </c>
      <c r="E451" s="2" t="s">
        <v>290</v>
      </c>
      <c r="F451" s="2">
        <v>65</v>
      </c>
      <c r="G451" s="2" t="s">
        <v>287</v>
      </c>
      <c r="H451" s="2">
        <v>103</v>
      </c>
      <c r="I451" s="2">
        <v>650</v>
      </c>
      <c r="J451" s="12">
        <f t="shared" si="111"/>
        <v>650</v>
      </c>
      <c r="K451" s="5">
        <f t="shared" si="112"/>
        <v>9708.7378640776678</v>
      </c>
      <c r="L451" s="2">
        <v>1</v>
      </c>
      <c r="M451" s="37">
        <f t="shared" si="110"/>
        <v>1</v>
      </c>
      <c r="N451" s="2"/>
      <c r="O451" s="32"/>
      <c r="P451" s="32"/>
      <c r="Q451" s="2"/>
      <c r="R451" s="2"/>
      <c r="S451" s="2"/>
      <c r="T451" s="2"/>
      <c r="U451" s="37">
        <f t="shared" si="109"/>
        <v>1</v>
      </c>
      <c r="V451" s="34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</row>
    <row r="452" spans="1:86" ht="28.8">
      <c r="A452" s="35" t="s">
        <v>295</v>
      </c>
      <c r="B452" s="1" t="s">
        <v>291</v>
      </c>
      <c r="C452" s="1" t="s">
        <v>292</v>
      </c>
      <c r="D452" s="1" t="s">
        <v>257</v>
      </c>
      <c r="E452" s="2" t="s">
        <v>293</v>
      </c>
      <c r="F452" s="2">
        <v>152</v>
      </c>
      <c r="G452" s="2" t="s">
        <v>294</v>
      </c>
      <c r="H452" s="2">
        <v>155.4</v>
      </c>
      <c r="I452" s="2">
        <v>2361</v>
      </c>
      <c r="J452" s="12">
        <f t="shared" si="111"/>
        <v>2361</v>
      </c>
      <c r="K452" s="5">
        <f t="shared" si="112"/>
        <v>9995.4277585856526</v>
      </c>
      <c r="L452" s="2">
        <v>1</v>
      </c>
      <c r="M452" s="37">
        <f t="shared" si="110"/>
        <v>1</v>
      </c>
      <c r="N452" s="2"/>
      <c r="O452" s="32"/>
      <c r="P452" s="32"/>
      <c r="Q452" s="2"/>
      <c r="R452" s="2"/>
      <c r="S452" s="2"/>
      <c r="T452" s="2"/>
      <c r="U452" s="37">
        <f t="shared" si="109"/>
        <v>1</v>
      </c>
      <c r="V452" s="34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</row>
    <row r="453" spans="1:86" ht="28.8">
      <c r="A453" s="35" t="s">
        <v>295</v>
      </c>
      <c r="B453" s="1"/>
      <c r="C453" s="1"/>
      <c r="D453" s="1" t="s">
        <v>257</v>
      </c>
      <c r="E453" s="2" t="s">
        <v>245</v>
      </c>
      <c r="F453" s="2">
        <v>95</v>
      </c>
      <c r="G453" s="2" t="s">
        <v>247</v>
      </c>
      <c r="H453" s="2">
        <v>38</v>
      </c>
      <c r="I453" s="2">
        <v>404</v>
      </c>
      <c r="J453" s="12">
        <f t="shared" si="111"/>
        <v>404</v>
      </c>
      <c r="K453" s="5">
        <f t="shared" si="112"/>
        <v>11191.135734072022</v>
      </c>
      <c r="L453" s="2">
        <v>1</v>
      </c>
      <c r="M453" s="37">
        <f t="shared" si="110"/>
        <v>1</v>
      </c>
      <c r="N453" s="2"/>
      <c r="O453" s="32"/>
      <c r="P453" s="32"/>
      <c r="Q453" s="2"/>
      <c r="R453" s="2"/>
      <c r="S453" s="2"/>
      <c r="T453" s="2"/>
      <c r="U453" s="37">
        <f t="shared" si="109"/>
        <v>1</v>
      </c>
      <c r="V453" s="34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</row>
    <row r="454" spans="1:86" ht="28.8">
      <c r="A454" s="35" t="s">
        <v>299</v>
      </c>
      <c r="B454" s="1" t="s">
        <v>300</v>
      </c>
      <c r="C454" s="1" t="s">
        <v>300</v>
      </c>
      <c r="D454" s="1" t="s">
        <v>257</v>
      </c>
      <c r="E454" s="2" t="s">
        <v>37</v>
      </c>
      <c r="F454" s="2">
        <v>350</v>
      </c>
      <c r="G454" s="2" t="s">
        <v>301</v>
      </c>
      <c r="H454" s="2">
        <v>168</v>
      </c>
      <c r="I454" s="2">
        <f>13290/10</f>
        <v>1329</v>
      </c>
      <c r="J454" s="12">
        <f t="shared" ref="J454:J481" si="113">IFERROR(IF(AND(V454=3,U454&gt;0),I454,I454*U454),"Verify")</f>
        <v>3987</v>
      </c>
      <c r="K454" s="5">
        <f t="shared" ref="K454:K481" si="114">+J454/(F454*H454*10^-5)</f>
        <v>6780.6122448979586</v>
      </c>
      <c r="L454" s="2">
        <v>3</v>
      </c>
      <c r="M454" s="37">
        <f t="shared" si="110"/>
        <v>3</v>
      </c>
      <c r="N454" s="2"/>
      <c r="O454" s="32"/>
      <c r="P454" s="32"/>
      <c r="Q454" s="2"/>
      <c r="R454" s="2"/>
      <c r="S454" s="2"/>
      <c r="T454" s="2"/>
      <c r="U454" s="37">
        <f t="shared" si="109"/>
        <v>3</v>
      </c>
      <c r="V454" s="34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</row>
    <row r="455" spans="1:86" ht="28.8">
      <c r="A455" s="35" t="s">
        <v>299</v>
      </c>
      <c r="B455" s="1" t="s">
        <v>300</v>
      </c>
      <c r="C455" s="1" t="s">
        <v>300</v>
      </c>
      <c r="D455" s="1" t="s">
        <v>257</v>
      </c>
      <c r="E455" s="2" t="s">
        <v>37</v>
      </c>
      <c r="F455" s="2">
        <v>350</v>
      </c>
      <c r="G455" s="2" t="s">
        <v>301</v>
      </c>
      <c r="H455" s="2">
        <v>168</v>
      </c>
      <c r="I455" s="2">
        <f>6645/5</f>
        <v>1329</v>
      </c>
      <c r="J455" s="12">
        <f t="shared" si="113"/>
        <v>6645</v>
      </c>
      <c r="K455" s="5">
        <f t="shared" si="114"/>
        <v>11301.020408163264</v>
      </c>
      <c r="L455" s="2">
        <v>5</v>
      </c>
      <c r="M455" s="37">
        <f t="shared" si="110"/>
        <v>5</v>
      </c>
      <c r="N455" s="2"/>
      <c r="O455" s="32"/>
      <c r="P455" s="32"/>
      <c r="Q455" s="2"/>
      <c r="R455" s="2"/>
      <c r="S455" s="2"/>
      <c r="T455" s="2"/>
      <c r="U455" s="37">
        <f t="shared" si="109"/>
        <v>5</v>
      </c>
      <c r="V455" s="34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</row>
    <row r="456" spans="1:86" ht="28.8">
      <c r="A456" s="35" t="s">
        <v>299</v>
      </c>
      <c r="B456" s="1" t="s">
        <v>300</v>
      </c>
      <c r="C456" s="1" t="s">
        <v>300</v>
      </c>
      <c r="D456" s="1" t="s">
        <v>257</v>
      </c>
      <c r="E456" s="2" t="s">
        <v>37</v>
      </c>
      <c r="F456" s="2">
        <v>350</v>
      </c>
      <c r="G456" s="2" t="s">
        <v>301</v>
      </c>
      <c r="H456" s="2">
        <v>168</v>
      </c>
      <c r="I456" s="2">
        <v>600</v>
      </c>
      <c r="J456" s="12">
        <f t="shared" si="113"/>
        <v>600</v>
      </c>
      <c r="K456" s="5">
        <f t="shared" si="114"/>
        <v>1020.408163265306</v>
      </c>
      <c r="L456" s="2">
        <v>1</v>
      </c>
      <c r="M456" s="37">
        <f t="shared" si="110"/>
        <v>1</v>
      </c>
      <c r="N456" s="2"/>
      <c r="O456" s="32"/>
      <c r="P456" s="32"/>
      <c r="Q456" s="2"/>
      <c r="R456" s="2"/>
      <c r="S456" s="2"/>
      <c r="T456" s="2"/>
      <c r="U456" s="37">
        <f t="shared" si="109"/>
        <v>1</v>
      </c>
      <c r="V456" s="34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</row>
    <row r="457" spans="1:86" ht="28.8">
      <c r="A457" s="35" t="s">
        <v>299</v>
      </c>
      <c r="B457" s="1" t="s">
        <v>302</v>
      </c>
      <c r="C457" s="1" t="s">
        <v>57</v>
      </c>
      <c r="D457" s="1" t="s">
        <v>257</v>
      </c>
      <c r="E457" s="2" t="s">
        <v>37</v>
      </c>
      <c r="F457" s="2">
        <v>350</v>
      </c>
      <c r="G457" s="2" t="s">
        <v>58</v>
      </c>
      <c r="H457" s="2">
        <v>67</v>
      </c>
      <c r="I457" s="2">
        <v>592</v>
      </c>
      <c r="J457" s="12">
        <f t="shared" si="113"/>
        <v>5920</v>
      </c>
      <c r="K457" s="5">
        <f t="shared" si="114"/>
        <v>25245.202558635392</v>
      </c>
      <c r="L457" s="2">
        <v>10</v>
      </c>
      <c r="M457" s="37">
        <f t="shared" si="110"/>
        <v>10</v>
      </c>
      <c r="N457" s="2"/>
      <c r="O457" s="32"/>
      <c r="P457" s="32">
        <f t="shared" ref="P457" si="115">+J457-O457</f>
        <v>5920</v>
      </c>
      <c r="Q457" s="2"/>
      <c r="R457" s="2"/>
      <c r="S457" s="2"/>
      <c r="T457" s="2"/>
      <c r="U457" s="37">
        <f t="shared" si="109"/>
        <v>10</v>
      </c>
      <c r="V457" s="34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</row>
    <row r="458" spans="1:86" ht="28.8">
      <c r="A458" s="35" t="s">
        <v>299</v>
      </c>
      <c r="B458" s="1" t="s">
        <v>303</v>
      </c>
      <c r="C458" s="1" t="s">
        <v>303</v>
      </c>
      <c r="D458" s="1" t="s">
        <v>257</v>
      </c>
      <c r="E458" s="2" t="s">
        <v>37</v>
      </c>
      <c r="F458" s="2">
        <v>350</v>
      </c>
      <c r="G458" s="2" t="s">
        <v>58</v>
      </c>
      <c r="H458" s="2">
        <v>109</v>
      </c>
      <c r="I458" s="2">
        <v>984</v>
      </c>
      <c r="J458" s="12">
        <f t="shared" si="113"/>
        <v>984</v>
      </c>
      <c r="K458" s="5">
        <f t="shared" si="114"/>
        <v>2579.2922673656617</v>
      </c>
      <c r="L458" s="2">
        <v>1</v>
      </c>
      <c r="M458" s="37">
        <f t="shared" si="110"/>
        <v>1</v>
      </c>
      <c r="N458" s="2"/>
      <c r="O458" s="32"/>
      <c r="P458" s="32"/>
      <c r="Q458" s="2"/>
      <c r="R458" s="2"/>
      <c r="S458" s="2"/>
      <c r="T458" s="2"/>
      <c r="U458" s="37">
        <f t="shared" si="109"/>
        <v>1</v>
      </c>
      <c r="V458" s="34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</row>
    <row r="459" spans="1:86" ht="28.8">
      <c r="A459" s="35" t="s">
        <v>299</v>
      </c>
      <c r="B459" s="1" t="s">
        <v>302</v>
      </c>
      <c r="C459" s="1" t="s">
        <v>57</v>
      </c>
      <c r="D459" s="1" t="s">
        <v>257</v>
      </c>
      <c r="E459" s="2" t="s">
        <v>37</v>
      </c>
      <c r="F459" s="2">
        <v>350</v>
      </c>
      <c r="G459" s="2" t="s">
        <v>58</v>
      </c>
      <c r="H459" s="2">
        <v>67</v>
      </c>
      <c r="I459" s="2">
        <v>601</v>
      </c>
      <c r="J459" s="12">
        <f t="shared" si="113"/>
        <v>3606</v>
      </c>
      <c r="K459" s="5">
        <f t="shared" si="114"/>
        <v>15377.398720682302</v>
      </c>
      <c r="L459" s="2">
        <v>6</v>
      </c>
      <c r="M459" s="37">
        <f t="shared" si="110"/>
        <v>6</v>
      </c>
      <c r="N459" s="2"/>
      <c r="O459" s="32"/>
      <c r="P459" s="32">
        <f t="shared" ref="P459:P460" si="116">+J459-O459</f>
        <v>3606</v>
      </c>
      <c r="Q459" s="2"/>
      <c r="R459" s="2"/>
      <c r="S459" s="2"/>
      <c r="T459" s="2"/>
      <c r="U459" s="37">
        <f t="shared" si="109"/>
        <v>6</v>
      </c>
      <c r="V459" s="34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</row>
    <row r="460" spans="1:86" ht="28.8">
      <c r="A460" s="35" t="s">
        <v>299</v>
      </c>
      <c r="B460" s="1" t="s">
        <v>302</v>
      </c>
      <c r="C460" s="1" t="s">
        <v>57</v>
      </c>
      <c r="D460" s="1" t="s">
        <v>257</v>
      </c>
      <c r="E460" s="2" t="s">
        <v>37</v>
      </c>
      <c r="F460" s="2">
        <v>350</v>
      </c>
      <c r="G460" s="2" t="s">
        <v>58</v>
      </c>
      <c r="H460" s="2">
        <v>67</v>
      </c>
      <c r="I460" s="2">
        <v>600</v>
      </c>
      <c r="J460" s="12">
        <f t="shared" si="113"/>
        <v>2400</v>
      </c>
      <c r="K460" s="5">
        <f t="shared" si="114"/>
        <v>10234.541577825159</v>
      </c>
      <c r="L460" s="2">
        <v>4</v>
      </c>
      <c r="M460" s="37">
        <f t="shared" ref="M460:M488" si="117">+L460-X460-Z460-AD460-AB460-AF460-AH460-AJ460-AL460-AO460-AQ460-AS460-AU460-AW460-AY460-BA460-BC460-BE460-BG460-BI460-BK460-BM460-BO460-BQ460-BS460-BU460-BW460-BY460-CA460-CC460-CE460-CG460</f>
        <v>4</v>
      </c>
      <c r="N460" s="2"/>
      <c r="O460" s="32"/>
      <c r="P460" s="32">
        <f t="shared" si="116"/>
        <v>2400</v>
      </c>
      <c r="Q460" s="2"/>
      <c r="R460" s="2"/>
      <c r="S460" s="2"/>
      <c r="T460" s="2"/>
      <c r="U460" s="37">
        <f t="shared" si="109"/>
        <v>4</v>
      </c>
      <c r="V460" s="34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</row>
    <row r="461" spans="1:86" ht="28.8">
      <c r="A461" s="35" t="s">
        <v>299</v>
      </c>
      <c r="B461" s="1" t="s">
        <v>304</v>
      </c>
      <c r="C461" s="1" t="s">
        <v>304</v>
      </c>
      <c r="D461" s="1" t="s">
        <v>257</v>
      </c>
      <c r="E461" s="2" t="s">
        <v>83</v>
      </c>
      <c r="F461" s="2">
        <v>120</v>
      </c>
      <c r="G461" s="2" t="s">
        <v>305</v>
      </c>
      <c r="H461" s="2">
        <v>97</v>
      </c>
      <c r="I461" s="2">
        <v>761</v>
      </c>
      <c r="J461" s="12">
        <f t="shared" si="113"/>
        <v>761</v>
      </c>
      <c r="K461" s="5">
        <f t="shared" si="114"/>
        <v>6537.8006872852229</v>
      </c>
      <c r="L461" s="2">
        <v>1</v>
      </c>
      <c r="M461" s="37">
        <f t="shared" si="117"/>
        <v>1</v>
      </c>
      <c r="N461" s="2"/>
      <c r="O461" s="32"/>
      <c r="P461" s="32"/>
      <c r="Q461" s="2"/>
      <c r="R461" s="2"/>
      <c r="S461" s="2"/>
      <c r="T461" s="2"/>
      <c r="U461" s="37">
        <f t="shared" si="109"/>
        <v>1</v>
      </c>
      <c r="V461" s="34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</row>
    <row r="462" spans="1:86" ht="28.8">
      <c r="A462" s="35" t="s">
        <v>299</v>
      </c>
      <c r="B462" s="1" t="s">
        <v>304</v>
      </c>
      <c r="C462" s="1" t="s">
        <v>304</v>
      </c>
      <c r="D462" s="1" t="s">
        <v>257</v>
      </c>
      <c r="E462" s="2" t="s">
        <v>83</v>
      </c>
      <c r="F462" s="2">
        <v>120</v>
      </c>
      <c r="G462" s="2" t="s">
        <v>305</v>
      </c>
      <c r="H462" s="2">
        <v>97</v>
      </c>
      <c r="I462" s="2">
        <v>759</v>
      </c>
      <c r="J462" s="12">
        <f t="shared" si="113"/>
        <v>759</v>
      </c>
      <c r="K462" s="5">
        <f t="shared" si="114"/>
        <v>6520.6185567010307</v>
      </c>
      <c r="L462" s="2">
        <v>1</v>
      </c>
      <c r="M462" s="37">
        <f t="shared" si="117"/>
        <v>1</v>
      </c>
      <c r="N462" s="2"/>
      <c r="O462" s="32"/>
      <c r="P462" s="32"/>
      <c r="Q462" s="2"/>
      <c r="R462" s="2"/>
      <c r="S462" s="2"/>
      <c r="T462" s="2"/>
      <c r="U462" s="37">
        <f t="shared" si="109"/>
        <v>1</v>
      </c>
      <c r="V462" s="34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</row>
    <row r="463" spans="1:86" ht="28.8">
      <c r="A463" s="35" t="s">
        <v>299</v>
      </c>
      <c r="B463" s="1" t="s">
        <v>304</v>
      </c>
      <c r="C463" s="1" t="s">
        <v>304</v>
      </c>
      <c r="D463" s="1" t="s">
        <v>257</v>
      </c>
      <c r="E463" s="2" t="s">
        <v>83</v>
      </c>
      <c r="F463" s="2">
        <v>120</v>
      </c>
      <c r="G463" s="2" t="s">
        <v>305</v>
      </c>
      <c r="H463" s="2">
        <v>97</v>
      </c>
      <c r="I463" s="2">
        <v>760</v>
      </c>
      <c r="J463" s="12">
        <f t="shared" si="113"/>
        <v>760</v>
      </c>
      <c r="K463" s="5">
        <f t="shared" si="114"/>
        <v>6529.2096219931273</v>
      </c>
      <c r="L463" s="2">
        <v>1</v>
      </c>
      <c r="M463" s="37">
        <f t="shared" si="117"/>
        <v>1</v>
      </c>
      <c r="N463" s="2"/>
      <c r="O463" s="32"/>
      <c r="P463" s="32"/>
      <c r="Q463" s="2"/>
      <c r="R463" s="2"/>
      <c r="S463" s="2"/>
      <c r="T463" s="2"/>
      <c r="U463" s="37">
        <f t="shared" si="109"/>
        <v>1</v>
      </c>
      <c r="V463" s="34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</row>
    <row r="464" spans="1:86" ht="28.8">
      <c r="A464" s="35" t="s">
        <v>299</v>
      </c>
      <c r="B464" s="1" t="s">
        <v>304</v>
      </c>
      <c r="C464" s="1" t="s">
        <v>304</v>
      </c>
      <c r="D464" s="1" t="s">
        <v>257</v>
      </c>
      <c r="E464" s="2" t="s">
        <v>83</v>
      </c>
      <c r="F464" s="2">
        <v>120</v>
      </c>
      <c r="G464" s="2" t="s">
        <v>305</v>
      </c>
      <c r="H464" s="2">
        <v>97</v>
      </c>
      <c r="I464" s="2">
        <v>751</v>
      </c>
      <c r="J464" s="12">
        <f t="shared" si="113"/>
        <v>751</v>
      </c>
      <c r="K464" s="5">
        <f t="shared" si="114"/>
        <v>6451.8900343642608</v>
      </c>
      <c r="L464" s="2">
        <v>1</v>
      </c>
      <c r="M464" s="37">
        <f t="shared" si="117"/>
        <v>1</v>
      </c>
      <c r="N464" s="2"/>
      <c r="O464" s="32"/>
      <c r="P464" s="32"/>
      <c r="Q464" s="2"/>
      <c r="R464" s="2"/>
      <c r="S464" s="2"/>
      <c r="T464" s="2"/>
      <c r="U464" s="37">
        <f t="shared" si="109"/>
        <v>1</v>
      </c>
      <c r="V464" s="34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</row>
    <row r="465" spans="1:86" ht="28.8">
      <c r="A465" s="35" t="s">
        <v>299</v>
      </c>
      <c r="B465" s="1" t="s">
        <v>304</v>
      </c>
      <c r="C465" s="1" t="s">
        <v>304</v>
      </c>
      <c r="D465" s="1" t="s">
        <v>257</v>
      </c>
      <c r="E465" s="2" t="s">
        <v>83</v>
      </c>
      <c r="F465" s="2">
        <v>120</v>
      </c>
      <c r="G465" s="2" t="s">
        <v>305</v>
      </c>
      <c r="H465" s="2">
        <v>97</v>
      </c>
      <c r="I465" s="2">
        <v>760</v>
      </c>
      <c r="J465" s="12">
        <f t="shared" si="113"/>
        <v>760</v>
      </c>
      <c r="K465" s="5">
        <f t="shared" si="114"/>
        <v>6529.2096219931273</v>
      </c>
      <c r="L465" s="2">
        <v>1</v>
      </c>
      <c r="M465" s="37">
        <f t="shared" si="117"/>
        <v>1</v>
      </c>
      <c r="N465" s="2"/>
      <c r="O465" s="32"/>
      <c r="P465" s="32"/>
      <c r="Q465" s="2"/>
      <c r="R465" s="2"/>
      <c r="S465" s="2"/>
      <c r="T465" s="2"/>
      <c r="U465" s="37">
        <f t="shared" si="109"/>
        <v>1</v>
      </c>
      <c r="V465" s="34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</row>
    <row r="466" spans="1:86" ht="28.8">
      <c r="A466" s="35" t="s">
        <v>299</v>
      </c>
      <c r="B466" s="1" t="s">
        <v>304</v>
      </c>
      <c r="C466" s="1" t="s">
        <v>304</v>
      </c>
      <c r="D466" s="1" t="s">
        <v>257</v>
      </c>
      <c r="E466" s="2" t="s">
        <v>83</v>
      </c>
      <c r="F466" s="2">
        <v>120</v>
      </c>
      <c r="G466" s="2" t="s">
        <v>305</v>
      </c>
      <c r="H466" s="2">
        <v>97</v>
      </c>
      <c r="I466" s="2">
        <v>747</v>
      </c>
      <c r="J466" s="12">
        <f t="shared" si="113"/>
        <v>747</v>
      </c>
      <c r="K466" s="5">
        <f t="shared" si="114"/>
        <v>6417.5257731958764</v>
      </c>
      <c r="L466" s="2">
        <v>1</v>
      </c>
      <c r="M466" s="37">
        <f t="shared" si="117"/>
        <v>1</v>
      </c>
      <c r="N466" s="2"/>
      <c r="O466" s="32"/>
      <c r="P466" s="32"/>
      <c r="Q466" s="2"/>
      <c r="R466" s="2"/>
      <c r="S466" s="2"/>
      <c r="T466" s="2"/>
      <c r="U466" s="37">
        <f t="shared" si="109"/>
        <v>1</v>
      </c>
      <c r="V466" s="34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</row>
    <row r="467" spans="1:86" ht="28.8">
      <c r="A467" s="35" t="s">
        <v>299</v>
      </c>
      <c r="B467" s="1" t="s">
        <v>304</v>
      </c>
      <c r="C467" s="1" t="s">
        <v>304</v>
      </c>
      <c r="D467" s="1" t="s">
        <v>257</v>
      </c>
      <c r="E467" s="2" t="s">
        <v>83</v>
      </c>
      <c r="F467" s="2">
        <v>120</v>
      </c>
      <c r="G467" s="2" t="s">
        <v>305</v>
      </c>
      <c r="H467" s="2">
        <v>97</v>
      </c>
      <c r="I467" s="2">
        <v>745</v>
      </c>
      <c r="J467" s="12">
        <f t="shared" si="113"/>
        <v>745</v>
      </c>
      <c r="K467" s="5">
        <f t="shared" si="114"/>
        <v>6400.3436426116832</v>
      </c>
      <c r="L467" s="2">
        <v>1</v>
      </c>
      <c r="M467" s="37">
        <f t="shared" si="117"/>
        <v>1</v>
      </c>
      <c r="N467" s="2"/>
      <c r="O467" s="32"/>
      <c r="P467" s="32"/>
      <c r="Q467" s="2"/>
      <c r="R467" s="2"/>
      <c r="S467" s="2"/>
      <c r="T467" s="2"/>
      <c r="U467" s="37">
        <f t="shared" si="109"/>
        <v>1</v>
      </c>
      <c r="V467" s="34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</row>
    <row r="468" spans="1:86" ht="28.8">
      <c r="A468" s="35" t="s">
        <v>299</v>
      </c>
      <c r="B468" s="1" t="s">
        <v>304</v>
      </c>
      <c r="C468" s="1" t="s">
        <v>304</v>
      </c>
      <c r="D468" s="1" t="s">
        <v>257</v>
      </c>
      <c r="E468" s="2" t="s">
        <v>83</v>
      </c>
      <c r="F468" s="2">
        <v>120</v>
      </c>
      <c r="G468" s="2" t="s">
        <v>305</v>
      </c>
      <c r="H468" s="2">
        <v>97</v>
      </c>
      <c r="I468" s="2">
        <v>745</v>
      </c>
      <c r="J468" s="12">
        <f t="shared" si="113"/>
        <v>745</v>
      </c>
      <c r="K468" s="5">
        <f t="shared" si="114"/>
        <v>6400.3436426116832</v>
      </c>
      <c r="L468" s="2">
        <v>1</v>
      </c>
      <c r="M468" s="37">
        <f t="shared" si="117"/>
        <v>1</v>
      </c>
      <c r="N468" s="2"/>
      <c r="O468" s="32"/>
      <c r="P468" s="32"/>
      <c r="Q468" s="2"/>
      <c r="R468" s="2"/>
      <c r="S468" s="2"/>
      <c r="T468" s="2"/>
      <c r="U468" s="37">
        <f t="shared" si="109"/>
        <v>1</v>
      </c>
      <c r="V468" s="34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</row>
    <row r="469" spans="1:86" ht="28.8">
      <c r="A469" s="35" t="s">
        <v>299</v>
      </c>
      <c r="B469" s="1" t="s">
        <v>306</v>
      </c>
      <c r="C469" s="1" t="s">
        <v>306</v>
      </c>
      <c r="D469" s="1" t="s">
        <v>257</v>
      </c>
      <c r="E469" s="2" t="s">
        <v>245</v>
      </c>
      <c r="F469" s="2">
        <v>95</v>
      </c>
      <c r="G469" s="2" t="s">
        <v>247</v>
      </c>
      <c r="H469" s="2">
        <v>37</v>
      </c>
      <c r="I469" s="2">
        <v>397</v>
      </c>
      <c r="J469" s="12">
        <f t="shared" si="113"/>
        <v>397</v>
      </c>
      <c r="K469" s="5">
        <f t="shared" si="114"/>
        <v>11294.452347083925</v>
      </c>
      <c r="L469" s="2">
        <v>1</v>
      </c>
      <c r="M469" s="37">
        <f t="shared" si="117"/>
        <v>1</v>
      </c>
      <c r="N469" s="2"/>
      <c r="O469" s="32"/>
      <c r="P469" s="32"/>
      <c r="Q469" s="2"/>
      <c r="R469" s="2"/>
      <c r="S469" s="2"/>
      <c r="T469" s="2"/>
      <c r="U469" s="37">
        <f t="shared" si="109"/>
        <v>1</v>
      </c>
      <c r="V469" s="34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</row>
    <row r="470" spans="1:86" ht="28.8">
      <c r="A470" s="35" t="s">
        <v>299</v>
      </c>
      <c r="B470" s="1"/>
      <c r="C470" s="1"/>
      <c r="D470" s="1" t="s">
        <v>257</v>
      </c>
      <c r="E470" s="2" t="s">
        <v>245</v>
      </c>
      <c r="F470" s="2">
        <v>90</v>
      </c>
      <c r="G470" s="2" t="s">
        <v>247</v>
      </c>
      <c r="H470" s="2">
        <v>34</v>
      </c>
      <c r="I470" s="2">
        <v>360</v>
      </c>
      <c r="J470" s="12">
        <f t="shared" si="113"/>
        <v>360</v>
      </c>
      <c r="K470" s="5">
        <f t="shared" si="114"/>
        <v>11764.705882352941</v>
      </c>
      <c r="L470" s="2">
        <v>1</v>
      </c>
      <c r="M470" s="37">
        <f t="shared" si="117"/>
        <v>1</v>
      </c>
      <c r="N470" s="2"/>
      <c r="O470" s="32"/>
      <c r="P470" s="32"/>
      <c r="Q470" s="2"/>
      <c r="R470" s="2"/>
      <c r="S470" s="2"/>
      <c r="T470" s="2"/>
      <c r="U470" s="37">
        <f t="shared" si="109"/>
        <v>1</v>
      </c>
      <c r="V470" s="34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</row>
    <row r="471" spans="1:86" ht="28.8">
      <c r="A471" s="35" t="s">
        <v>299</v>
      </c>
      <c r="B471" s="1" t="s">
        <v>254</v>
      </c>
      <c r="C471" s="1" t="s">
        <v>254</v>
      </c>
      <c r="D471" s="1" t="s">
        <v>257</v>
      </c>
      <c r="E471" s="2" t="s">
        <v>245</v>
      </c>
      <c r="F471" s="2">
        <v>90</v>
      </c>
      <c r="G471" s="2" t="s">
        <v>247</v>
      </c>
      <c r="H471" s="2">
        <v>37</v>
      </c>
      <c r="I471" s="2">
        <v>394</v>
      </c>
      <c r="J471" s="12">
        <f t="shared" si="113"/>
        <v>394</v>
      </c>
      <c r="K471" s="5">
        <f t="shared" si="114"/>
        <v>11831.831831831831</v>
      </c>
      <c r="L471" s="2">
        <v>1</v>
      </c>
      <c r="M471" s="37">
        <f t="shared" si="117"/>
        <v>1</v>
      </c>
      <c r="N471" s="2"/>
      <c r="O471" s="32"/>
      <c r="P471" s="32"/>
      <c r="Q471" s="2"/>
      <c r="R471" s="2"/>
      <c r="S471" s="2"/>
      <c r="T471" s="2"/>
      <c r="U471" s="37">
        <f t="shared" si="109"/>
        <v>1</v>
      </c>
      <c r="V471" s="34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</row>
    <row r="472" spans="1:86" ht="28.8">
      <c r="A472" s="35" t="s">
        <v>299</v>
      </c>
      <c r="B472" s="1" t="s">
        <v>254</v>
      </c>
      <c r="C472" s="1" t="s">
        <v>254</v>
      </c>
      <c r="D472" s="1" t="s">
        <v>257</v>
      </c>
      <c r="E472" s="2" t="s">
        <v>245</v>
      </c>
      <c r="F472" s="2">
        <v>90</v>
      </c>
      <c r="G472" s="2" t="s">
        <v>247</v>
      </c>
      <c r="H472" s="2">
        <v>37</v>
      </c>
      <c r="I472" s="2">
        <v>408</v>
      </c>
      <c r="J472" s="12">
        <f t="shared" si="113"/>
        <v>408</v>
      </c>
      <c r="K472" s="5">
        <f t="shared" si="114"/>
        <v>12252.25225225225</v>
      </c>
      <c r="L472" s="2">
        <v>1</v>
      </c>
      <c r="M472" s="37">
        <f t="shared" si="117"/>
        <v>1</v>
      </c>
      <c r="N472" s="2"/>
      <c r="O472" s="32"/>
      <c r="P472" s="32"/>
      <c r="Q472" s="2"/>
      <c r="R472" s="2"/>
      <c r="S472" s="2"/>
      <c r="T472" s="2"/>
      <c r="U472" s="37">
        <f t="shared" si="109"/>
        <v>1</v>
      </c>
      <c r="V472" s="34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</row>
    <row r="473" spans="1:86" ht="28.8">
      <c r="A473" s="35" t="s">
        <v>299</v>
      </c>
      <c r="B473" s="1" t="s">
        <v>307</v>
      </c>
      <c r="C473" s="1" t="s">
        <v>307</v>
      </c>
      <c r="D473" s="1" t="s">
        <v>257</v>
      </c>
      <c r="E473" s="2" t="s">
        <v>245</v>
      </c>
      <c r="F473" s="2">
        <v>90</v>
      </c>
      <c r="G473" s="2" t="s">
        <v>247</v>
      </c>
      <c r="H473" s="2">
        <v>38</v>
      </c>
      <c r="I473" s="2">
        <v>416</v>
      </c>
      <c r="J473" s="12">
        <f t="shared" si="113"/>
        <v>416</v>
      </c>
      <c r="K473" s="5">
        <f t="shared" si="114"/>
        <v>12163.74269005848</v>
      </c>
      <c r="L473" s="2">
        <v>1</v>
      </c>
      <c r="M473" s="37">
        <f t="shared" si="117"/>
        <v>1</v>
      </c>
      <c r="N473" s="2"/>
      <c r="O473" s="32"/>
      <c r="P473" s="32"/>
      <c r="Q473" s="2"/>
      <c r="R473" s="2"/>
      <c r="S473" s="2"/>
      <c r="T473" s="2"/>
      <c r="U473" s="37">
        <f t="shared" si="109"/>
        <v>1</v>
      </c>
      <c r="V473" s="34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</row>
    <row r="474" spans="1:86" ht="28.8">
      <c r="A474" s="35" t="s">
        <v>299</v>
      </c>
      <c r="B474" s="1" t="s">
        <v>307</v>
      </c>
      <c r="C474" s="1" t="s">
        <v>307</v>
      </c>
      <c r="D474" s="1" t="s">
        <v>257</v>
      </c>
      <c r="E474" s="2" t="s">
        <v>245</v>
      </c>
      <c r="F474" s="2">
        <v>90</v>
      </c>
      <c r="G474" s="2" t="s">
        <v>247</v>
      </c>
      <c r="H474" s="2">
        <v>38</v>
      </c>
      <c r="I474" s="2">
        <v>413</v>
      </c>
      <c r="J474" s="12">
        <f t="shared" si="113"/>
        <v>413</v>
      </c>
      <c r="K474" s="5">
        <f t="shared" si="114"/>
        <v>12076.023391812865</v>
      </c>
      <c r="L474" s="2">
        <v>1</v>
      </c>
      <c r="M474" s="37">
        <f t="shared" si="117"/>
        <v>1</v>
      </c>
      <c r="N474" s="2"/>
      <c r="O474" s="32"/>
      <c r="P474" s="32"/>
      <c r="Q474" s="2"/>
      <c r="R474" s="2"/>
      <c r="S474" s="2"/>
      <c r="T474" s="2"/>
      <c r="U474" s="37">
        <f t="shared" si="109"/>
        <v>1</v>
      </c>
      <c r="V474" s="34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</row>
    <row r="475" spans="1:86" ht="28.8">
      <c r="A475" s="35" t="s">
        <v>299</v>
      </c>
      <c r="B475" s="1" t="s">
        <v>307</v>
      </c>
      <c r="C475" s="1" t="s">
        <v>307</v>
      </c>
      <c r="D475" s="1" t="s">
        <v>257</v>
      </c>
      <c r="E475" s="2" t="s">
        <v>245</v>
      </c>
      <c r="F475" s="2">
        <v>90</v>
      </c>
      <c r="G475" s="2" t="s">
        <v>247</v>
      </c>
      <c r="H475" s="2">
        <v>38</v>
      </c>
      <c r="I475" s="2">
        <v>403</v>
      </c>
      <c r="J475" s="12">
        <f t="shared" si="113"/>
        <v>403</v>
      </c>
      <c r="K475" s="5">
        <f t="shared" si="114"/>
        <v>11783.625730994152</v>
      </c>
      <c r="L475" s="2">
        <v>1</v>
      </c>
      <c r="M475" s="37">
        <f t="shared" si="117"/>
        <v>1</v>
      </c>
      <c r="N475" s="2"/>
      <c r="O475" s="32"/>
      <c r="P475" s="32"/>
      <c r="Q475" s="2"/>
      <c r="R475" s="2"/>
      <c r="S475" s="2"/>
      <c r="T475" s="2"/>
      <c r="U475" s="37">
        <f t="shared" si="109"/>
        <v>1</v>
      </c>
      <c r="V475" s="34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</row>
    <row r="476" spans="1:86" ht="28.8">
      <c r="A476" s="35" t="s">
        <v>299</v>
      </c>
      <c r="B476" s="1" t="s">
        <v>254</v>
      </c>
      <c r="C476" s="1" t="s">
        <v>254</v>
      </c>
      <c r="D476" s="1" t="s">
        <v>257</v>
      </c>
      <c r="E476" s="2" t="s">
        <v>245</v>
      </c>
      <c r="F476" s="2">
        <v>90</v>
      </c>
      <c r="G476" s="2" t="s">
        <v>247</v>
      </c>
      <c r="H476" s="2">
        <v>37</v>
      </c>
      <c r="I476" s="2">
        <v>405</v>
      </c>
      <c r="J476" s="12">
        <f t="shared" si="113"/>
        <v>405</v>
      </c>
      <c r="K476" s="5">
        <f t="shared" si="114"/>
        <v>12162.162162162162</v>
      </c>
      <c r="L476" s="2">
        <v>1</v>
      </c>
      <c r="M476" s="37">
        <f t="shared" si="117"/>
        <v>1</v>
      </c>
      <c r="N476" s="2"/>
      <c r="O476" s="32"/>
      <c r="P476" s="32"/>
      <c r="Q476" s="2"/>
      <c r="R476" s="2"/>
      <c r="S476" s="2"/>
      <c r="T476" s="2"/>
      <c r="U476" s="37">
        <f t="shared" si="109"/>
        <v>1</v>
      </c>
      <c r="V476" s="34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</row>
    <row r="477" spans="1:86" ht="28.8">
      <c r="A477" s="35" t="s">
        <v>299</v>
      </c>
      <c r="B477" s="1"/>
      <c r="C477" s="1"/>
      <c r="D477" s="1" t="s">
        <v>257</v>
      </c>
      <c r="E477" s="2" t="s">
        <v>245</v>
      </c>
      <c r="F477" s="2">
        <v>90</v>
      </c>
      <c r="G477" s="2" t="s">
        <v>247</v>
      </c>
      <c r="H477" s="2">
        <v>33</v>
      </c>
      <c r="I477" s="2">
        <v>333</v>
      </c>
      <c r="J477" s="12">
        <f t="shared" si="113"/>
        <v>333</v>
      </c>
      <c r="K477" s="5">
        <f t="shared" si="114"/>
        <v>11212.121212121212</v>
      </c>
      <c r="L477" s="2">
        <v>1</v>
      </c>
      <c r="M477" s="37">
        <f t="shared" si="117"/>
        <v>1</v>
      </c>
      <c r="N477" s="2"/>
      <c r="O477" s="32"/>
      <c r="P477" s="32"/>
      <c r="Q477" s="2"/>
      <c r="R477" s="2"/>
      <c r="S477" s="2"/>
      <c r="T477" s="2"/>
      <c r="U477" s="37">
        <f t="shared" si="109"/>
        <v>1</v>
      </c>
      <c r="V477" s="34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</row>
    <row r="478" spans="1:86" ht="28.8">
      <c r="A478" s="35" t="s">
        <v>299</v>
      </c>
      <c r="B478" s="1" t="s">
        <v>254</v>
      </c>
      <c r="C478" s="1" t="s">
        <v>254</v>
      </c>
      <c r="D478" s="1" t="s">
        <v>257</v>
      </c>
      <c r="E478" s="2" t="s">
        <v>245</v>
      </c>
      <c r="F478" s="2">
        <v>90</v>
      </c>
      <c r="G478" s="2" t="s">
        <v>247</v>
      </c>
      <c r="H478" s="2">
        <v>37</v>
      </c>
      <c r="I478" s="2">
        <v>400</v>
      </c>
      <c r="J478" s="12">
        <f t="shared" si="113"/>
        <v>2000</v>
      </c>
      <c r="K478" s="5">
        <f t="shared" si="114"/>
        <v>60060.060060060052</v>
      </c>
      <c r="L478" s="2">
        <v>5</v>
      </c>
      <c r="M478" s="37">
        <f t="shared" si="117"/>
        <v>5</v>
      </c>
      <c r="N478" s="2"/>
      <c r="O478" s="32"/>
      <c r="P478" s="32"/>
      <c r="Q478" s="2"/>
      <c r="R478" s="2"/>
      <c r="S478" s="2"/>
      <c r="T478" s="2"/>
      <c r="U478" s="37">
        <f t="shared" si="109"/>
        <v>5</v>
      </c>
      <c r="V478" s="34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</row>
    <row r="479" spans="1:86" ht="28.8">
      <c r="A479" s="35" t="s">
        <v>299</v>
      </c>
      <c r="B479" s="1" t="s">
        <v>307</v>
      </c>
      <c r="C479" s="1" t="s">
        <v>307</v>
      </c>
      <c r="D479" s="1" t="s">
        <v>257</v>
      </c>
      <c r="E479" s="2" t="s">
        <v>245</v>
      </c>
      <c r="F479" s="2">
        <v>90</v>
      </c>
      <c r="G479" s="2" t="s">
        <v>247</v>
      </c>
      <c r="H479" s="2">
        <v>38</v>
      </c>
      <c r="I479" s="2">
        <v>388</v>
      </c>
      <c r="J479" s="12">
        <f t="shared" si="113"/>
        <v>388</v>
      </c>
      <c r="K479" s="5">
        <f t="shared" si="114"/>
        <v>11345.029239766081</v>
      </c>
      <c r="L479" s="2">
        <v>1</v>
      </c>
      <c r="M479" s="37">
        <f t="shared" si="117"/>
        <v>1</v>
      </c>
      <c r="N479" s="2"/>
      <c r="O479" s="32"/>
      <c r="P479" s="32"/>
      <c r="Q479" s="2"/>
      <c r="R479" s="2"/>
      <c r="S479" s="2"/>
      <c r="T479" s="2"/>
      <c r="U479" s="37">
        <f t="shared" si="109"/>
        <v>1</v>
      </c>
      <c r="V479" s="34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</row>
    <row r="480" spans="1:86" ht="28.8">
      <c r="A480" s="35" t="s">
        <v>299</v>
      </c>
      <c r="B480" s="1" t="s">
        <v>254</v>
      </c>
      <c r="C480" s="1" t="s">
        <v>254</v>
      </c>
      <c r="D480" s="1" t="s">
        <v>257</v>
      </c>
      <c r="E480" s="2" t="s">
        <v>245</v>
      </c>
      <c r="F480" s="2">
        <v>90</v>
      </c>
      <c r="G480" s="2" t="s">
        <v>247</v>
      </c>
      <c r="H480" s="2">
        <v>37</v>
      </c>
      <c r="I480" s="2">
        <v>402</v>
      </c>
      <c r="J480" s="12">
        <f t="shared" si="113"/>
        <v>402</v>
      </c>
      <c r="K480" s="5">
        <f t="shared" si="114"/>
        <v>12072.072072072071</v>
      </c>
      <c r="L480" s="2">
        <v>1</v>
      </c>
      <c r="M480" s="37">
        <f t="shared" si="117"/>
        <v>1</v>
      </c>
      <c r="N480" s="2"/>
      <c r="O480" s="32"/>
      <c r="P480" s="32"/>
      <c r="Q480" s="2"/>
      <c r="R480" s="2"/>
      <c r="S480" s="2"/>
      <c r="T480" s="2"/>
      <c r="U480" s="37">
        <f t="shared" si="109"/>
        <v>1</v>
      </c>
      <c r="V480" s="34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</row>
    <row r="481" spans="1:86" ht="28.8">
      <c r="A481" s="35" t="s">
        <v>299</v>
      </c>
      <c r="B481" s="1" t="s">
        <v>307</v>
      </c>
      <c r="C481" s="1" t="s">
        <v>307</v>
      </c>
      <c r="D481" s="1" t="s">
        <v>257</v>
      </c>
      <c r="E481" s="2" t="s">
        <v>245</v>
      </c>
      <c r="F481" s="2">
        <v>90</v>
      </c>
      <c r="G481" s="2" t="s">
        <v>247</v>
      </c>
      <c r="H481" s="2">
        <v>38</v>
      </c>
      <c r="I481" s="2">
        <v>413</v>
      </c>
      <c r="J481" s="12">
        <f t="shared" si="113"/>
        <v>413</v>
      </c>
      <c r="K481" s="5">
        <f t="shared" si="114"/>
        <v>12076.023391812865</v>
      </c>
      <c r="L481" s="2">
        <v>1</v>
      </c>
      <c r="M481" s="37">
        <f t="shared" si="117"/>
        <v>1</v>
      </c>
      <c r="N481" s="2"/>
      <c r="O481" s="32"/>
      <c r="P481" s="32"/>
      <c r="Q481" s="2"/>
      <c r="R481" s="2"/>
      <c r="S481" s="2"/>
      <c r="T481" s="2"/>
      <c r="U481" s="37">
        <f t="shared" si="109"/>
        <v>1</v>
      </c>
      <c r="V481" s="34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</row>
    <row r="482" spans="1:86" ht="28.8">
      <c r="A482" s="35" t="s">
        <v>299</v>
      </c>
      <c r="B482" s="1" t="s">
        <v>308</v>
      </c>
      <c r="C482" s="1" t="s">
        <v>308</v>
      </c>
      <c r="D482" s="1" t="s">
        <v>257</v>
      </c>
      <c r="E482" s="2" t="s">
        <v>245</v>
      </c>
      <c r="F482" s="2">
        <v>90</v>
      </c>
      <c r="G482" s="2" t="s">
        <v>247</v>
      </c>
      <c r="H482" s="2">
        <v>40</v>
      </c>
      <c r="I482" s="2">
        <v>438</v>
      </c>
      <c r="J482" s="12">
        <f t="shared" ref="J482:J498" si="118">IFERROR(IF(AND(V482=3,U482&gt;0),I482,I482*U482),"Verify")</f>
        <v>438</v>
      </c>
      <c r="K482" s="5">
        <f t="shared" ref="K482:K498" si="119">+J482/(F482*H482*10^-5)</f>
        <v>12166.666666666666</v>
      </c>
      <c r="L482" s="2">
        <v>1</v>
      </c>
      <c r="M482" s="37">
        <f t="shared" si="117"/>
        <v>1</v>
      </c>
      <c r="N482" s="2"/>
      <c r="O482" s="32"/>
      <c r="P482" s="32"/>
      <c r="Q482" s="2"/>
      <c r="R482" s="2"/>
      <c r="S482" s="2"/>
      <c r="T482" s="2"/>
      <c r="U482" s="37">
        <f t="shared" si="109"/>
        <v>1</v>
      </c>
      <c r="V482" s="34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</row>
    <row r="483" spans="1:86" ht="28.8">
      <c r="A483" s="35" t="s">
        <v>299</v>
      </c>
      <c r="B483" s="1" t="s">
        <v>309</v>
      </c>
      <c r="C483" s="1" t="s">
        <v>309</v>
      </c>
      <c r="D483" s="1" t="s">
        <v>257</v>
      </c>
      <c r="E483" s="2" t="s">
        <v>245</v>
      </c>
      <c r="F483" s="2">
        <v>90</v>
      </c>
      <c r="G483" s="2" t="s">
        <v>247</v>
      </c>
      <c r="H483" s="2">
        <v>33</v>
      </c>
      <c r="I483" s="2">
        <v>342</v>
      </c>
      <c r="J483" s="12">
        <f t="shared" si="118"/>
        <v>342</v>
      </c>
      <c r="K483" s="5">
        <f t="shared" si="119"/>
        <v>11515.151515151514</v>
      </c>
      <c r="L483" s="2">
        <v>1</v>
      </c>
      <c r="M483" s="37">
        <f t="shared" si="117"/>
        <v>1</v>
      </c>
      <c r="N483" s="2"/>
      <c r="O483" s="32"/>
      <c r="P483" s="32"/>
      <c r="Q483" s="2"/>
      <c r="R483" s="2"/>
      <c r="S483" s="2"/>
      <c r="T483" s="2"/>
      <c r="U483" s="37">
        <f t="shared" si="109"/>
        <v>1</v>
      </c>
      <c r="V483" s="34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</row>
    <row r="484" spans="1:86" ht="28.8">
      <c r="A484" s="35" t="s">
        <v>299</v>
      </c>
      <c r="B484" s="1" t="s">
        <v>307</v>
      </c>
      <c r="C484" s="1" t="s">
        <v>307</v>
      </c>
      <c r="D484" s="1" t="s">
        <v>257</v>
      </c>
      <c r="E484" s="2" t="s">
        <v>245</v>
      </c>
      <c r="F484" s="2">
        <v>90</v>
      </c>
      <c r="G484" s="2" t="s">
        <v>247</v>
      </c>
      <c r="H484" s="2">
        <v>38</v>
      </c>
      <c r="I484" s="2">
        <v>447</v>
      </c>
      <c r="J484" s="12">
        <f t="shared" si="118"/>
        <v>447</v>
      </c>
      <c r="K484" s="5">
        <f t="shared" si="119"/>
        <v>13070.17543859649</v>
      </c>
      <c r="L484" s="2">
        <v>1</v>
      </c>
      <c r="M484" s="37">
        <f t="shared" si="117"/>
        <v>1</v>
      </c>
      <c r="N484" s="2"/>
      <c r="O484" s="32"/>
      <c r="P484" s="32"/>
      <c r="Q484" s="2"/>
      <c r="R484" s="2"/>
      <c r="S484" s="2"/>
      <c r="T484" s="2"/>
      <c r="U484" s="37">
        <f t="shared" si="109"/>
        <v>1</v>
      </c>
      <c r="V484" s="34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</row>
    <row r="485" spans="1:86" ht="28.8">
      <c r="A485" s="35" t="s">
        <v>299</v>
      </c>
      <c r="B485" s="1" t="s">
        <v>307</v>
      </c>
      <c r="C485" s="1" t="s">
        <v>307</v>
      </c>
      <c r="D485" s="1" t="s">
        <v>257</v>
      </c>
      <c r="E485" s="2" t="s">
        <v>245</v>
      </c>
      <c r="F485" s="2">
        <v>90</v>
      </c>
      <c r="G485" s="2" t="s">
        <v>247</v>
      </c>
      <c r="H485" s="2">
        <v>38</v>
      </c>
      <c r="I485" s="2">
        <v>408</v>
      </c>
      <c r="J485" s="12">
        <f t="shared" si="118"/>
        <v>408</v>
      </c>
      <c r="K485" s="5">
        <f t="shared" si="119"/>
        <v>11929.824561403508</v>
      </c>
      <c r="L485" s="2">
        <v>1</v>
      </c>
      <c r="M485" s="37">
        <f t="shared" si="117"/>
        <v>1</v>
      </c>
      <c r="N485" s="2"/>
      <c r="O485" s="32"/>
      <c r="P485" s="32"/>
      <c r="Q485" s="2"/>
      <c r="R485" s="2"/>
      <c r="S485" s="2"/>
      <c r="T485" s="2"/>
      <c r="U485" s="37">
        <f t="shared" si="109"/>
        <v>1</v>
      </c>
      <c r="V485" s="34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</row>
    <row r="486" spans="1:86" ht="28.8">
      <c r="A486" s="35" t="s">
        <v>299</v>
      </c>
      <c r="B486" s="1" t="s">
        <v>306</v>
      </c>
      <c r="C486" s="1" t="s">
        <v>306</v>
      </c>
      <c r="D486" s="1" t="s">
        <v>257</v>
      </c>
      <c r="E486" s="2" t="s">
        <v>245</v>
      </c>
      <c r="F486" s="2">
        <v>95</v>
      </c>
      <c r="G486" s="2" t="s">
        <v>247</v>
      </c>
      <c r="H486" s="2">
        <v>37</v>
      </c>
      <c r="I486" s="2">
        <v>400</v>
      </c>
      <c r="J486" s="12">
        <f t="shared" si="118"/>
        <v>400</v>
      </c>
      <c r="K486" s="5">
        <f t="shared" si="119"/>
        <v>11379.800853485063</v>
      </c>
      <c r="L486" s="2">
        <v>1</v>
      </c>
      <c r="M486" s="37">
        <f t="shared" si="117"/>
        <v>1</v>
      </c>
      <c r="N486" s="2"/>
      <c r="O486" s="32"/>
      <c r="P486" s="32"/>
      <c r="Q486" s="2"/>
      <c r="R486" s="2"/>
      <c r="S486" s="2"/>
      <c r="T486" s="2"/>
      <c r="U486" s="37">
        <f t="shared" si="109"/>
        <v>1</v>
      </c>
      <c r="V486" s="34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</row>
    <row r="487" spans="1:86" ht="28.8">
      <c r="A487" s="35" t="s">
        <v>299</v>
      </c>
      <c r="B487" s="1" t="s">
        <v>306</v>
      </c>
      <c r="C487" s="1" t="s">
        <v>306</v>
      </c>
      <c r="D487" s="1" t="s">
        <v>257</v>
      </c>
      <c r="E487" s="2" t="s">
        <v>245</v>
      </c>
      <c r="F487" s="2">
        <v>95</v>
      </c>
      <c r="G487" s="2" t="s">
        <v>247</v>
      </c>
      <c r="H487" s="2">
        <v>37</v>
      </c>
      <c r="I487" s="2">
        <v>404</v>
      </c>
      <c r="J487" s="12">
        <f t="shared" si="118"/>
        <v>404</v>
      </c>
      <c r="K487" s="5">
        <f t="shared" si="119"/>
        <v>11493.598862019915</v>
      </c>
      <c r="L487" s="2">
        <v>1</v>
      </c>
      <c r="M487" s="37">
        <f t="shared" si="117"/>
        <v>1</v>
      </c>
      <c r="N487" s="2"/>
      <c r="O487" s="32"/>
      <c r="P487" s="32"/>
      <c r="Q487" s="2"/>
      <c r="R487" s="2"/>
      <c r="S487" s="2"/>
      <c r="T487" s="2"/>
      <c r="U487" s="37">
        <f t="shared" ref="U487:U538" si="120">+L487-X487-Z487-AD487-AB487-AF487-AH487-AJ487-AL487-AO487-AQ487-AS487-AU487-AW487-AY487-BA487-BC487-BE487-BG487-BI487-BK487-BM487-BO487-BQ487-BS487-BU487-BW487-BY487-CA487-CC487-CE487-CG487</f>
        <v>1</v>
      </c>
      <c r="V487" s="34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</row>
    <row r="488" spans="1:86" ht="28.8">
      <c r="A488" s="35" t="s">
        <v>299</v>
      </c>
      <c r="B488" s="1" t="s">
        <v>310</v>
      </c>
      <c r="C488" s="1" t="s">
        <v>310</v>
      </c>
      <c r="D488" s="1" t="s">
        <v>257</v>
      </c>
      <c r="E488" s="2" t="s">
        <v>245</v>
      </c>
      <c r="F488" s="2">
        <v>95</v>
      </c>
      <c r="G488" s="2" t="s">
        <v>247</v>
      </c>
      <c r="H488" s="2">
        <v>38</v>
      </c>
      <c r="I488" s="2">
        <v>408</v>
      </c>
      <c r="J488" s="12">
        <f t="shared" si="118"/>
        <v>408</v>
      </c>
      <c r="K488" s="5">
        <f t="shared" si="119"/>
        <v>11301.939058171745</v>
      </c>
      <c r="L488" s="2">
        <v>1</v>
      </c>
      <c r="M488" s="37">
        <f t="shared" si="117"/>
        <v>1</v>
      </c>
      <c r="N488" s="2"/>
      <c r="O488" s="32"/>
      <c r="P488" s="32"/>
      <c r="Q488" s="2"/>
      <c r="R488" s="2"/>
      <c r="S488" s="2"/>
      <c r="T488" s="2"/>
      <c r="U488" s="37">
        <f t="shared" si="120"/>
        <v>1</v>
      </c>
      <c r="V488" s="34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</row>
    <row r="489" spans="1:86" ht="28.8">
      <c r="A489" s="35" t="s">
        <v>299</v>
      </c>
      <c r="B489" s="1" t="s">
        <v>307</v>
      </c>
      <c r="C489" s="1" t="s">
        <v>307</v>
      </c>
      <c r="D489" s="1" t="s">
        <v>257</v>
      </c>
      <c r="E489" s="2" t="s">
        <v>245</v>
      </c>
      <c r="F489" s="2">
        <v>90</v>
      </c>
      <c r="G489" s="2" t="s">
        <v>247</v>
      </c>
      <c r="H489" s="2">
        <v>38</v>
      </c>
      <c r="I489" s="2">
        <v>462</v>
      </c>
      <c r="J489" s="12">
        <f t="shared" si="118"/>
        <v>462</v>
      </c>
      <c r="K489" s="5">
        <f t="shared" si="119"/>
        <v>13508.771929824561</v>
      </c>
      <c r="L489" s="2">
        <v>1</v>
      </c>
      <c r="M489" s="37">
        <f t="shared" ref="M489:M518" si="121">+L489-X489-Z489-AD489-AB489-AF489-AH489-AJ489-AL489-AO489-AQ489-AS489-AU489-AW489-AY489-BA489-BC489-BE489-BG489-BI489-BK489-BM489-BO489-BQ489-BS489-BU489-BW489-BY489-CA489-CC489-CE489-CG489</f>
        <v>1</v>
      </c>
      <c r="N489" s="2"/>
      <c r="O489" s="32"/>
      <c r="P489" s="32"/>
      <c r="Q489" s="2"/>
      <c r="R489" s="2"/>
      <c r="S489" s="2"/>
      <c r="T489" s="2"/>
      <c r="U489" s="37">
        <f t="shared" si="120"/>
        <v>1</v>
      </c>
      <c r="V489" s="34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</row>
    <row r="490" spans="1:86" ht="28.8">
      <c r="A490" s="35" t="s">
        <v>299</v>
      </c>
      <c r="B490" s="1" t="s">
        <v>307</v>
      </c>
      <c r="C490" s="1" t="s">
        <v>307</v>
      </c>
      <c r="D490" s="1" t="s">
        <v>257</v>
      </c>
      <c r="E490" s="2" t="s">
        <v>245</v>
      </c>
      <c r="F490" s="2">
        <v>90</v>
      </c>
      <c r="G490" s="2" t="s">
        <v>247</v>
      </c>
      <c r="H490" s="2">
        <v>38</v>
      </c>
      <c r="I490" s="2">
        <v>402</v>
      </c>
      <c r="J490" s="12">
        <f t="shared" si="118"/>
        <v>402</v>
      </c>
      <c r="K490" s="5">
        <f t="shared" si="119"/>
        <v>11754.385964912281</v>
      </c>
      <c r="L490" s="2">
        <v>1</v>
      </c>
      <c r="M490" s="37">
        <f t="shared" si="121"/>
        <v>1</v>
      </c>
      <c r="N490" s="2"/>
      <c r="O490" s="32"/>
      <c r="P490" s="32"/>
      <c r="Q490" s="2"/>
      <c r="R490" s="2"/>
      <c r="S490" s="2"/>
      <c r="T490" s="2"/>
      <c r="U490" s="37">
        <f t="shared" si="120"/>
        <v>1</v>
      </c>
      <c r="V490" s="34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</row>
    <row r="491" spans="1:86" ht="28.8">
      <c r="A491" s="35" t="s">
        <v>299</v>
      </c>
      <c r="B491" s="1" t="s">
        <v>307</v>
      </c>
      <c r="C491" s="1" t="s">
        <v>307</v>
      </c>
      <c r="D491" s="1" t="s">
        <v>257</v>
      </c>
      <c r="E491" s="2" t="s">
        <v>245</v>
      </c>
      <c r="F491" s="2">
        <v>90</v>
      </c>
      <c r="G491" s="2" t="s">
        <v>247</v>
      </c>
      <c r="H491" s="2">
        <v>38</v>
      </c>
      <c r="I491" s="2">
        <v>416</v>
      </c>
      <c r="J491" s="12">
        <f t="shared" si="118"/>
        <v>416</v>
      </c>
      <c r="K491" s="5">
        <f t="shared" si="119"/>
        <v>12163.74269005848</v>
      </c>
      <c r="L491" s="2">
        <v>1</v>
      </c>
      <c r="M491" s="37">
        <f t="shared" si="121"/>
        <v>1</v>
      </c>
      <c r="N491" s="2"/>
      <c r="O491" s="32"/>
      <c r="P491" s="32"/>
      <c r="Q491" s="2"/>
      <c r="R491" s="2"/>
      <c r="S491" s="2"/>
      <c r="T491" s="2"/>
      <c r="U491" s="37">
        <f t="shared" si="120"/>
        <v>1</v>
      </c>
      <c r="V491" s="34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</row>
    <row r="492" spans="1:86" ht="28.8">
      <c r="A492" s="35" t="s">
        <v>299</v>
      </c>
      <c r="B492" s="1" t="s">
        <v>306</v>
      </c>
      <c r="C492" s="1" t="s">
        <v>306</v>
      </c>
      <c r="D492" s="1" t="s">
        <v>257</v>
      </c>
      <c r="E492" s="2" t="s">
        <v>245</v>
      </c>
      <c r="F492" s="2">
        <v>95</v>
      </c>
      <c r="G492" s="2" t="s">
        <v>247</v>
      </c>
      <c r="H492" s="2">
        <v>37</v>
      </c>
      <c r="I492" s="2">
        <v>398</v>
      </c>
      <c r="J492" s="12">
        <f t="shared" si="118"/>
        <v>398</v>
      </c>
      <c r="K492" s="5">
        <f t="shared" si="119"/>
        <v>11322.901849217638</v>
      </c>
      <c r="L492" s="2">
        <v>1</v>
      </c>
      <c r="M492" s="37">
        <f t="shared" si="121"/>
        <v>1</v>
      </c>
      <c r="N492" s="2"/>
      <c r="O492" s="32"/>
      <c r="P492" s="32"/>
      <c r="Q492" s="2"/>
      <c r="R492" s="2"/>
      <c r="S492" s="2"/>
      <c r="T492" s="2"/>
      <c r="U492" s="37">
        <f t="shared" si="120"/>
        <v>1</v>
      </c>
      <c r="V492" s="34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</row>
    <row r="493" spans="1:86" ht="28.8">
      <c r="A493" s="35" t="s">
        <v>299</v>
      </c>
      <c r="B493" s="1" t="s">
        <v>306</v>
      </c>
      <c r="C493" s="1" t="s">
        <v>306</v>
      </c>
      <c r="D493" s="1" t="s">
        <v>257</v>
      </c>
      <c r="E493" s="2" t="s">
        <v>245</v>
      </c>
      <c r="F493" s="2">
        <v>95</v>
      </c>
      <c r="G493" s="2" t="s">
        <v>247</v>
      </c>
      <c r="H493" s="2">
        <v>37</v>
      </c>
      <c r="I493" s="2">
        <v>395</v>
      </c>
      <c r="J493" s="12">
        <f t="shared" si="118"/>
        <v>395</v>
      </c>
      <c r="K493" s="5">
        <f t="shared" si="119"/>
        <v>11237.5533428165</v>
      </c>
      <c r="L493" s="2">
        <v>1</v>
      </c>
      <c r="M493" s="37">
        <f t="shared" si="121"/>
        <v>1</v>
      </c>
      <c r="N493" s="2"/>
      <c r="O493" s="32"/>
      <c r="P493" s="32"/>
      <c r="Q493" s="2"/>
      <c r="R493" s="2"/>
      <c r="S493" s="2"/>
      <c r="T493" s="2"/>
      <c r="U493" s="37">
        <f t="shared" si="120"/>
        <v>1</v>
      </c>
      <c r="V493" s="34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</row>
    <row r="494" spans="1:86" ht="28.8">
      <c r="A494" s="35" t="s">
        <v>299</v>
      </c>
      <c r="B494" s="1" t="s">
        <v>311</v>
      </c>
      <c r="C494" s="1" t="s">
        <v>311</v>
      </c>
      <c r="D494" s="1" t="s">
        <v>257</v>
      </c>
      <c r="E494" s="2" t="s">
        <v>245</v>
      </c>
      <c r="F494" s="2">
        <v>90</v>
      </c>
      <c r="G494" s="2" t="s">
        <v>247</v>
      </c>
      <c r="H494" s="2">
        <v>36</v>
      </c>
      <c r="I494" s="2">
        <v>372</v>
      </c>
      <c r="J494" s="12">
        <f t="shared" si="118"/>
        <v>372</v>
      </c>
      <c r="K494" s="5">
        <f t="shared" si="119"/>
        <v>11481.48148148148</v>
      </c>
      <c r="L494" s="2">
        <v>1</v>
      </c>
      <c r="M494" s="37">
        <f t="shared" si="121"/>
        <v>1</v>
      </c>
      <c r="N494" s="2"/>
      <c r="O494" s="32"/>
      <c r="P494" s="32"/>
      <c r="Q494" s="2"/>
      <c r="R494" s="2"/>
      <c r="S494" s="2"/>
      <c r="T494" s="2"/>
      <c r="U494" s="37">
        <f t="shared" si="120"/>
        <v>1</v>
      </c>
      <c r="V494" s="34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</row>
    <row r="495" spans="1:86" ht="28.8">
      <c r="A495" s="35" t="s">
        <v>299</v>
      </c>
      <c r="B495" s="1" t="s">
        <v>311</v>
      </c>
      <c r="C495" s="1" t="s">
        <v>311</v>
      </c>
      <c r="D495" s="1" t="s">
        <v>257</v>
      </c>
      <c r="E495" s="2" t="s">
        <v>245</v>
      </c>
      <c r="F495" s="2">
        <v>90</v>
      </c>
      <c r="G495" s="2" t="s">
        <v>247</v>
      </c>
      <c r="H495" s="2">
        <v>36</v>
      </c>
      <c r="I495" s="2">
        <v>375</v>
      </c>
      <c r="J495" s="12">
        <f t="shared" si="118"/>
        <v>750</v>
      </c>
      <c r="K495" s="5">
        <f t="shared" si="119"/>
        <v>23148.148148148146</v>
      </c>
      <c r="L495" s="2">
        <v>2</v>
      </c>
      <c r="M495" s="37">
        <f t="shared" si="121"/>
        <v>2</v>
      </c>
      <c r="N495" s="2"/>
      <c r="O495" s="32"/>
      <c r="P495" s="32"/>
      <c r="Q495" s="2"/>
      <c r="R495" s="2"/>
      <c r="S495" s="2"/>
      <c r="T495" s="2"/>
      <c r="U495" s="37">
        <f t="shared" si="120"/>
        <v>2</v>
      </c>
      <c r="V495" s="34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</row>
    <row r="496" spans="1:86" ht="28.8">
      <c r="A496" s="35" t="s">
        <v>299</v>
      </c>
      <c r="B496" s="1" t="s">
        <v>311</v>
      </c>
      <c r="C496" s="1" t="s">
        <v>311</v>
      </c>
      <c r="D496" s="1" t="s">
        <v>257</v>
      </c>
      <c r="E496" s="2" t="s">
        <v>245</v>
      </c>
      <c r="F496" s="2">
        <v>90</v>
      </c>
      <c r="G496" s="2" t="s">
        <v>247</v>
      </c>
      <c r="H496" s="2">
        <v>36</v>
      </c>
      <c r="I496" s="2">
        <v>385</v>
      </c>
      <c r="J496" s="12">
        <f t="shared" si="118"/>
        <v>385</v>
      </c>
      <c r="K496" s="5">
        <f t="shared" si="119"/>
        <v>11882.716049382714</v>
      </c>
      <c r="L496" s="2">
        <v>1</v>
      </c>
      <c r="M496" s="37">
        <f t="shared" si="121"/>
        <v>1</v>
      </c>
      <c r="N496" s="2"/>
      <c r="O496" s="32"/>
      <c r="P496" s="32"/>
      <c r="Q496" s="2"/>
      <c r="R496" s="2"/>
      <c r="S496" s="2"/>
      <c r="T496" s="2"/>
      <c r="U496" s="37">
        <f t="shared" si="120"/>
        <v>1</v>
      </c>
      <c r="V496" s="34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</row>
    <row r="497" spans="1:86" ht="28.8">
      <c r="A497" s="35" t="s">
        <v>299</v>
      </c>
      <c r="B497" s="1" t="s">
        <v>312</v>
      </c>
      <c r="C497" s="1" t="s">
        <v>312</v>
      </c>
      <c r="D497" s="1" t="s">
        <v>257</v>
      </c>
      <c r="E497" s="2" t="s">
        <v>245</v>
      </c>
      <c r="F497" s="2">
        <v>90</v>
      </c>
      <c r="G497" s="2" t="s">
        <v>247</v>
      </c>
      <c r="H497" s="2">
        <v>35</v>
      </c>
      <c r="I497" s="2">
        <v>320</v>
      </c>
      <c r="J497" s="12">
        <f t="shared" si="118"/>
        <v>320</v>
      </c>
      <c r="K497" s="5">
        <f t="shared" si="119"/>
        <v>10158.730158730159</v>
      </c>
      <c r="L497" s="2">
        <v>1</v>
      </c>
      <c r="M497" s="37">
        <f t="shared" si="121"/>
        <v>1</v>
      </c>
      <c r="N497" s="2"/>
      <c r="O497" s="32"/>
      <c r="P497" s="32"/>
      <c r="Q497" s="2"/>
      <c r="R497" s="2"/>
      <c r="S497" s="2"/>
      <c r="T497" s="2"/>
      <c r="U497" s="37">
        <f t="shared" si="120"/>
        <v>1</v>
      </c>
      <c r="V497" s="34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</row>
    <row r="498" spans="1:86" ht="28.8">
      <c r="A498" s="35" t="s">
        <v>299</v>
      </c>
      <c r="B498" s="1" t="s">
        <v>312</v>
      </c>
      <c r="C498" s="1" t="s">
        <v>312</v>
      </c>
      <c r="D498" s="1" t="s">
        <v>257</v>
      </c>
      <c r="E498" s="2" t="s">
        <v>245</v>
      </c>
      <c r="F498" s="2">
        <v>90</v>
      </c>
      <c r="G498" s="2" t="s">
        <v>247</v>
      </c>
      <c r="H498" s="2">
        <v>35</v>
      </c>
      <c r="I498" s="2">
        <v>377</v>
      </c>
      <c r="J498" s="12">
        <f t="shared" si="118"/>
        <v>377</v>
      </c>
      <c r="K498" s="5">
        <f t="shared" si="119"/>
        <v>11968.253968253968</v>
      </c>
      <c r="L498" s="2">
        <v>1</v>
      </c>
      <c r="M498" s="37">
        <f t="shared" si="121"/>
        <v>1</v>
      </c>
      <c r="N498" s="2"/>
      <c r="O498" s="32"/>
      <c r="P498" s="32"/>
      <c r="Q498" s="2"/>
      <c r="R498" s="2"/>
      <c r="S498" s="2"/>
      <c r="T498" s="2"/>
      <c r="U498" s="37">
        <f t="shared" si="120"/>
        <v>1</v>
      </c>
      <c r="V498" s="34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</row>
    <row r="499" spans="1:86">
      <c r="A499" s="35" t="s">
        <v>313</v>
      </c>
      <c r="B499" s="1" t="s">
        <v>314</v>
      </c>
      <c r="C499" s="1" t="s">
        <v>314</v>
      </c>
      <c r="D499" s="1"/>
      <c r="E499" s="2" t="s">
        <v>92</v>
      </c>
      <c r="F499" s="2">
        <v>140</v>
      </c>
      <c r="G499" s="2" t="s">
        <v>315</v>
      </c>
      <c r="H499" s="2">
        <v>94</v>
      </c>
      <c r="I499" s="2">
        <v>901.4</v>
      </c>
      <c r="J499" s="12">
        <f t="shared" ref="J499:J522" si="122">IFERROR(IF(AND(V499=3,U499&gt;0),I499,I499*U499),"Verify")</f>
        <v>11718.199999999999</v>
      </c>
      <c r="K499" s="5">
        <f t="shared" ref="K499:K522" si="123">+J499/(F499*H499*10^-5)</f>
        <v>89044.072948328248</v>
      </c>
      <c r="L499" s="2">
        <v>13</v>
      </c>
      <c r="M499" s="37">
        <f t="shared" si="121"/>
        <v>13</v>
      </c>
      <c r="N499" s="2"/>
      <c r="O499" s="32"/>
      <c r="P499" s="32"/>
      <c r="Q499" s="2"/>
      <c r="R499" s="2"/>
      <c r="S499" s="2"/>
      <c r="T499" s="2"/>
      <c r="U499" s="37">
        <f t="shared" si="120"/>
        <v>13</v>
      </c>
      <c r="V499" s="34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</row>
    <row r="500" spans="1:86">
      <c r="A500" s="35" t="s">
        <v>313</v>
      </c>
      <c r="B500" s="1" t="s">
        <v>316</v>
      </c>
      <c r="C500" s="1" t="s">
        <v>317</v>
      </c>
      <c r="D500" s="1"/>
      <c r="E500" s="2" t="s">
        <v>83</v>
      </c>
      <c r="F500" s="2">
        <v>90</v>
      </c>
      <c r="G500" s="2" t="s">
        <v>318</v>
      </c>
      <c r="H500" s="2">
        <v>50</v>
      </c>
      <c r="I500" s="2">
        <v>568</v>
      </c>
      <c r="J500" s="12">
        <f t="shared" si="122"/>
        <v>568</v>
      </c>
      <c r="K500" s="5">
        <f t="shared" si="123"/>
        <v>12622.222222222221</v>
      </c>
      <c r="L500" s="2">
        <v>1</v>
      </c>
      <c r="M500" s="37">
        <f t="shared" si="121"/>
        <v>1</v>
      </c>
      <c r="N500" s="2"/>
      <c r="O500" s="32"/>
      <c r="P500" s="32">
        <f t="shared" ref="P500:P520" si="124">+J500-O500</f>
        <v>568</v>
      </c>
      <c r="Q500" s="2"/>
      <c r="R500" s="2"/>
      <c r="S500" s="2"/>
      <c r="T500" s="2"/>
      <c r="U500" s="37">
        <f t="shared" si="120"/>
        <v>1</v>
      </c>
      <c r="V500" s="34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</row>
    <row r="501" spans="1:86">
      <c r="A501" s="35" t="s">
        <v>313</v>
      </c>
      <c r="B501" s="1" t="s">
        <v>316</v>
      </c>
      <c r="C501" s="1" t="s">
        <v>317</v>
      </c>
      <c r="D501" s="1"/>
      <c r="E501" s="2" t="s">
        <v>83</v>
      </c>
      <c r="F501" s="2">
        <v>90</v>
      </c>
      <c r="G501" s="2" t="s">
        <v>318</v>
      </c>
      <c r="H501" s="2">
        <v>50</v>
      </c>
      <c r="I501" s="2">
        <v>565</v>
      </c>
      <c r="J501" s="12">
        <f t="shared" si="122"/>
        <v>565</v>
      </c>
      <c r="K501" s="5">
        <f t="shared" si="123"/>
        <v>12555.555555555555</v>
      </c>
      <c r="L501" s="2">
        <v>1</v>
      </c>
      <c r="M501" s="37">
        <f t="shared" si="121"/>
        <v>1</v>
      </c>
      <c r="N501" s="2"/>
      <c r="O501" s="32"/>
      <c r="P501" s="32">
        <f t="shared" si="124"/>
        <v>565</v>
      </c>
      <c r="Q501" s="2"/>
      <c r="R501" s="2"/>
      <c r="S501" s="2"/>
      <c r="T501" s="2"/>
      <c r="U501" s="37">
        <f t="shared" si="120"/>
        <v>1</v>
      </c>
      <c r="V501" s="34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</row>
    <row r="502" spans="1:86">
      <c r="A502" s="35" t="s">
        <v>313</v>
      </c>
      <c r="B502" s="1" t="s">
        <v>316</v>
      </c>
      <c r="C502" s="1" t="s">
        <v>317</v>
      </c>
      <c r="D502" s="1"/>
      <c r="E502" s="2" t="s">
        <v>83</v>
      </c>
      <c r="F502" s="2">
        <v>90</v>
      </c>
      <c r="G502" s="2" t="s">
        <v>318</v>
      </c>
      <c r="H502" s="2">
        <v>50</v>
      </c>
      <c r="I502" s="2">
        <v>565</v>
      </c>
      <c r="J502" s="12">
        <f t="shared" si="122"/>
        <v>565</v>
      </c>
      <c r="K502" s="5">
        <f t="shared" si="123"/>
        <v>12555.555555555555</v>
      </c>
      <c r="L502" s="2">
        <v>1</v>
      </c>
      <c r="M502" s="37">
        <f t="shared" si="121"/>
        <v>1</v>
      </c>
      <c r="N502" s="2"/>
      <c r="O502" s="32"/>
      <c r="P502" s="32">
        <f t="shared" si="124"/>
        <v>565</v>
      </c>
      <c r="Q502" s="2"/>
      <c r="R502" s="2"/>
      <c r="S502" s="2"/>
      <c r="T502" s="2"/>
      <c r="U502" s="37">
        <f t="shared" si="120"/>
        <v>1</v>
      </c>
      <c r="V502" s="34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</row>
    <row r="503" spans="1:86">
      <c r="A503" s="35" t="s">
        <v>313</v>
      </c>
      <c r="B503" s="1" t="s">
        <v>316</v>
      </c>
      <c r="C503" s="1" t="s">
        <v>317</v>
      </c>
      <c r="D503" s="1"/>
      <c r="E503" s="2" t="s">
        <v>83</v>
      </c>
      <c r="F503" s="2">
        <v>90</v>
      </c>
      <c r="G503" s="2" t="s">
        <v>318</v>
      </c>
      <c r="H503" s="2">
        <v>50</v>
      </c>
      <c r="I503" s="2">
        <v>563</v>
      </c>
      <c r="J503" s="12">
        <f t="shared" si="122"/>
        <v>563</v>
      </c>
      <c r="K503" s="5">
        <f t="shared" si="123"/>
        <v>12511.111111111109</v>
      </c>
      <c r="L503" s="2">
        <v>1</v>
      </c>
      <c r="M503" s="37">
        <f t="shared" si="121"/>
        <v>1</v>
      </c>
      <c r="N503" s="2"/>
      <c r="O503" s="32"/>
      <c r="P503" s="32">
        <f t="shared" si="124"/>
        <v>563</v>
      </c>
      <c r="Q503" s="2"/>
      <c r="R503" s="2"/>
      <c r="S503" s="2"/>
      <c r="T503" s="2"/>
      <c r="U503" s="37">
        <f t="shared" si="120"/>
        <v>1</v>
      </c>
      <c r="V503" s="34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</row>
    <row r="504" spans="1:86">
      <c r="A504" s="35" t="s">
        <v>313</v>
      </c>
      <c r="B504" s="1" t="s">
        <v>316</v>
      </c>
      <c r="C504" s="1" t="s">
        <v>317</v>
      </c>
      <c r="D504" s="1"/>
      <c r="E504" s="2" t="s">
        <v>83</v>
      </c>
      <c r="F504" s="2">
        <v>90</v>
      </c>
      <c r="G504" s="2" t="s">
        <v>318</v>
      </c>
      <c r="H504" s="2">
        <v>50</v>
      </c>
      <c r="I504" s="2">
        <v>568</v>
      </c>
      <c r="J504" s="12">
        <f t="shared" si="122"/>
        <v>568</v>
      </c>
      <c r="K504" s="5">
        <f t="shared" si="123"/>
        <v>12622.222222222221</v>
      </c>
      <c r="L504" s="2">
        <v>1</v>
      </c>
      <c r="M504" s="37">
        <f t="shared" si="121"/>
        <v>1</v>
      </c>
      <c r="N504" s="2"/>
      <c r="O504" s="32"/>
      <c r="P504" s="32">
        <f t="shared" si="124"/>
        <v>568</v>
      </c>
      <c r="Q504" s="2"/>
      <c r="R504" s="2"/>
      <c r="S504" s="2"/>
      <c r="T504" s="2"/>
      <c r="U504" s="37">
        <f t="shared" si="120"/>
        <v>1</v>
      </c>
      <c r="V504" s="34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</row>
    <row r="505" spans="1:86">
      <c r="A505" s="35" t="s">
        <v>313</v>
      </c>
      <c r="B505" s="1" t="s">
        <v>316</v>
      </c>
      <c r="C505" s="1" t="s">
        <v>317</v>
      </c>
      <c r="D505" s="1"/>
      <c r="E505" s="2" t="s">
        <v>83</v>
      </c>
      <c r="F505" s="2">
        <v>90</v>
      </c>
      <c r="G505" s="2" t="s">
        <v>318</v>
      </c>
      <c r="H505" s="2">
        <v>50</v>
      </c>
      <c r="I505" s="2">
        <v>563</v>
      </c>
      <c r="J505" s="12">
        <f t="shared" si="122"/>
        <v>563</v>
      </c>
      <c r="K505" s="5">
        <f t="shared" si="123"/>
        <v>12511.111111111109</v>
      </c>
      <c r="L505" s="2">
        <v>1</v>
      </c>
      <c r="M505" s="37">
        <f t="shared" si="121"/>
        <v>1</v>
      </c>
      <c r="N505" s="2"/>
      <c r="O505" s="32"/>
      <c r="P505" s="32">
        <f t="shared" si="124"/>
        <v>563</v>
      </c>
      <c r="Q505" s="2"/>
      <c r="R505" s="2"/>
      <c r="S505" s="2"/>
      <c r="T505" s="2"/>
      <c r="U505" s="37">
        <f t="shared" si="120"/>
        <v>1</v>
      </c>
      <c r="V505" s="34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</row>
    <row r="506" spans="1:86">
      <c r="A506" s="35" t="s">
        <v>313</v>
      </c>
      <c r="B506" s="1" t="s">
        <v>316</v>
      </c>
      <c r="C506" s="1" t="s">
        <v>317</v>
      </c>
      <c r="D506" s="1"/>
      <c r="E506" s="2" t="s">
        <v>83</v>
      </c>
      <c r="F506" s="2">
        <v>90</v>
      </c>
      <c r="G506" s="2" t="s">
        <v>318</v>
      </c>
      <c r="H506" s="2">
        <v>50</v>
      </c>
      <c r="I506" s="2">
        <v>566</v>
      </c>
      <c r="J506" s="12">
        <f t="shared" si="122"/>
        <v>566</v>
      </c>
      <c r="K506" s="5">
        <f t="shared" si="123"/>
        <v>12577.777777777776</v>
      </c>
      <c r="L506" s="2">
        <v>1</v>
      </c>
      <c r="M506" s="37">
        <f t="shared" si="121"/>
        <v>1</v>
      </c>
      <c r="N506" s="2"/>
      <c r="O506" s="32"/>
      <c r="P506" s="32">
        <f t="shared" si="124"/>
        <v>566</v>
      </c>
      <c r="Q506" s="2"/>
      <c r="R506" s="2"/>
      <c r="S506" s="2"/>
      <c r="T506" s="2"/>
      <c r="U506" s="37">
        <f t="shared" si="120"/>
        <v>1</v>
      </c>
      <c r="V506" s="34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</row>
    <row r="507" spans="1:86">
      <c r="A507" s="35" t="s">
        <v>313</v>
      </c>
      <c r="B507" s="1" t="s">
        <v>316</v>
      </c>
      <c r="C507" s="1" t="s">
        <v>317</v>
      </c>
      <c r="D507" s="1"/>
      <c r="E507" s="2" t="s">
        <v>83</v>
      </c>
      <c r="F507" s="2">
        <v>90</v>
      </c>
      <c r="G507" s="2" t="s">
        <v>318</v>
      </c>
      <c r="H507" s="2">
        <v>50</v>
      </c>
      <c r="I507" s="2">
        <v>532</v>
      </c>
      <c r="J507" s="12">
        <f t="shared" si="122"/>
        <v>532</v>
      </c>
      <c r="K507" s="5">
        <f t="shared" si="123"/>
        <v>11822.222222222221</v>
      </c>
      <c r="L507" s="2">
        <v>1</v>
      </c>
      <c r="M507" s="37">
        <f t="shared" si="121"/>
        <v>1</v>
      </c>
      <c r="N507" s="2"/>
      <c r="O507" s="32"/>
      <c r="P507" s="32">
        <f t="shared" si="124"/>
        <v>532</v>
      </c>
      <c r="Q507" s="2"/>
      <c r="R507" s="2"/>
      <c r="S507" s="2"/>
      <c r="T507" s="2"/>
      <c r="U507" s="37">
        <f t="shared" si="120"/>
        <v>1</v>
      </c>
      <c r="V507" s="34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</row>
    <row r="508" spans="1:86">
      <c r="A508" s="35" t="s">
        <v>313</v>
      </c>
      <c r="B508" s="1" t="s">
        <v>316</v>
      </c>
      <c r="C508" s="1" t="s">
        <v>317</v>
      </c>
      <c r="D508" s="1"/>
      <c r="E508" s="2" t="s">
        <v>83</v>
      </c>
      <c r="F508" s="2">
        <v>90</v>
      </c>
      <c r="G508" s="2" t="s">
        <v>318</v>
      </c>
      <c r="H508" s="2">
        <v>50</v>
      </c>
      <c r="I508" s="2">
        <v>525</v>
      </c>
      <c r="J508" s="12">
        <f t="shared" si="122"/>
        <v>525</v>
      </c>
      <c r="K508" s="5">
        <f t="shared" si="123"/>
        <v>11666.666666666666</v>
      </c>
      <c r="L508" s="2">
        <v>1</v>
      </c>
      <c r="M508" s="37">
        <f t="shared" si="121"/>
        <v>1</v>
      </c>
      <c r="N508" s="2"/>
      <c r="O508" s="32"/>
      <c r="P508" s="32">
        <f t="shared" si="124"/>
        <v>525</v>
      </c>
      <c r="Q508" s="2"/>
      <c r="R508" s="2"/>
      <c r="S508" s="2"/>
      <c r="T508" s="2"/>
      <c r="U508" s="37">
        <f t="shared" si="120"/>
        <v>1</v>
      </c>
      <c r="V508" s="34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</row>
    <row r="509" spans="1:86">
      <c r="A509" s="35" t="s">
        <v>313</v>
      </c>
      <c r="B509" s="1" t="s">
        <v>316</v>
      </c>
      <c r="C509" s="1" t="s">
        <v>317</v>
      </c>
      <c r="D509" s="1"/>
      <c r="E509" s="2" t="s">
        <v>83</v>
      </c>
      <c r="F509" s="2">
        <v>90</v>
      </c>
      <c r="G509" s="2" t="s">
        <v>318</v>
      </c>
      <c r="H509" s="2">
        <v>50</v>
      </c>
      <c r="I509" s="2">
        <v>569</v>
      </c>
      <c r="J509" s="12">
        <f t="shared" si="122"/>
        <v>569</v>
      </c>
      <c r="K509" s="5">
        <f t="shared" si="123"/>
        <v>12644.444444444443</v>
      </c>
      <c r="L509" s="2">
        <v>1</v>
      </c>
      <c r="M509" s="37">
        <f t="shared" si="121"/>
        <v>1</v>
      </c>
      <c r="N509" s="2"/>
      <c r="O509" s="32"/>
      <c r="P509" s="32">
        <f t="shared" si="124"/>
        <v>569</v>
      </c>
      <c r="Q509" s="2"/>
      <c r="R509" s="2"/>
      <c r="S509" s="2"/>
      <c r="T509" s="2"/>
      <c r="U509" s="37">
        <f t="shared" si="120"/>
        <v>1</v>
      </c>
      <c r="V509" s="34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</row>
    <row r="510" spans="1:86">
      <c r="A510" s="35" t="s">
        <v>313</v>
      </c>
      <c r="B510" s="1" t="s">
        <v>316</v>
      </c>
      <c r="C510" s="1" t="s">
        <v>317</v>
      </c>
      <c r="D510" s="1"/>
      <c r="E510" s="2" t="s">
        <v>83</v>
      </c>
      <c r="F510" s="2">
        <v>90</v>
      </c>
      <c r="G510" s="2" t="s">
        <v>318</v>
      </c>
      <c r="H510" s="2">
        <v>50</v>
      </c>
      <c r="I510" s="2">
        <v>568</v>
      </c>
      <c r="J510" s="12">
        <f t="shared" si="122"/>
        <v>568</v>
      </c>
      <c r="K510" s="5">
        <f t="shared" si="123"/>
        <v>12622.222222222221</v>
      </c>
      <c r="L510" s="2">
        <v>1</v>
      </c>
      <c r="M510" s="37">
        <f t="shared" si="121"/>
        <v>1</v>
      </c>
      <c r="N510" s="2"/>
      <c r="O510" s="32"/>
      <c r="P510" s="32">
        <f t="shared" si="124"/>
        <v>568</v>
      </c>
      <c r="Q510" s="2"/>
      <c r="R510" s="2"/>
      <c r="S510" s="2"/>
      <c r="T510" s="2"/>
      <c r="U510" s="37">
        <f t="shared" si="120"/>
        <v>1</v>
      </c>
      <c r="V510" s="34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</row>
    <row r="511" spans="1:86">
      <c r="A511" s="35" t="s">
        <v>313</v>
      </c>
      <c r="B511" s="1" t="s">
        <v>316</v>
      </c>
      <c r="C511" s="1" t="s">
        <v>317</v>
      </c>
      <c r="D511" s="1"/>
      <c r="E511" s="2" t="s">
        <v>83</v>
      </c>
      <c r="F511" s="2">
        <v>90</v>
      </c>
      <c r="G511" s="2" t="s">
        <v>318</v>
      </c>
      <c r="H511" s="2">
        <v>50</v>
      </c>
      <c r="I511" s="2">
        <v>568</v>
      </c>
      <c r="J511" s="12">
        <f t="shared" si="122"/>
        <v>568</v>
      </c>
      <c r="K511" s="5">
        <f t="shared" si="123"/>
        <v>12622.222222222221</v>
      </c>
      <c r="L511" s="2">
        <v>1</v>
      </c>
      <c r="M511" s="37">
        <f t="shared" si="121"/>
        <v>1</v>
      </c>
      <c r="N511" s="2"/>
      <c r="O511" s="32"/>
      <c r="P511" s="32">
        <f t="shared" si="124"/>
        <v>568</v>
      </c>
      <c r="Q511" s="2"/>
      <c r="R511" s="2"/>
      <c r="S511" s="2"/>
      <c r="T511" s="2"/>
      <c r="U511" s="37">
        <f t="shared" si="120"/>
        <v>1</v>
      </c>
      <c r="V511" s="34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</row>
    <row r="512" spans="1:86">
      <c r="A512" s="35" t="s">
        <v>313</v>
      </c>
      <c r="B512" s="1" t="s">
        <v>316</v>
      </c>
      <c r="C512" s="1" t="s">
        <v>317</v>
      </c>
      <c r="D512" s="1"/>
      <c r="E512" s="2" t="s">
        <v>83</v>
      </c>
      <c r="F512" s="2">
        <v>90</v>
      </c>
      <c r="G512" s="2" t="s">
        <v>318</v>
      </c>
      <c r="H512" s="2">
        <v>50</v>
      </c>
      <c r="I512" s="2">
        <v>568</v>
      </c>
      <c r="J512" s="12">
        <f t="shared" si="122"/>
        <v>568</v>
      </c>
      <c r="K512" s="5">
        <f t="shared" si="123"/>
        <v>12622.222222222221</v>
      </c>
      <c r="L512" s="2">
        <v>1</v>
      </c>
      <c r="M512" s="37">
        <f t="shared" si="121"/>
        <v>1</v>
      </c>
      <c r="N512" s="2"/>
      <c r="O512" s="32"/>
      <c r="P512" s="32">
        <f t="shared" si="124"/>
        <v>568</v>
      </c>
      <c r="Q512" s="2"/>
      <c r="R512" s="2"/>
      <c r="S512" s="2"/>
      <c r="T512" s="2"/>
      <c r="U512" s="37">
        <f t="shared" si="120"/>
        <v>1</v>
      </c>
      <c r="V512" s="34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</row>
    <row r="513" spans="1:86">
      <c r="A513" s="35" t="s">
        <v>313</v>
      </c>
      <c r="B513" s="1" t="s">
        <v>316</v>
      </c>
      <c r="C513" s="1" t="s">
        <v>317</v>
      </c>
      <c r="D513" s="1"/>
      <c r="E513" s="2" t="s">
        <v>83</v>
      </c>
      <c r="F513" s="2">
        <v>90</v>
      </c>
      <c r="G513" s="2" t="s">
        <v>318</v>
      </c>
      <c r="H513" s="2">
        <v>50</v>
      </c>
      <c r="I513" s="2">
        <v>562</v>
      </c>
      <c r="J513" s="12">
        <f t="shared" si="122"/>
        <v>562</v>
      </c>
      <c r="K513" s="5">
        <f t="shared" si="123"/>
        <v>12488.888888888887</v>
      </c>
      <c r="L513" s="2">
        <v>1</v>
      </c>
      <c r="M513" s="37">
        <f t="shared" si="121"/>
        <v>1</v>
      </c>
      <c r="N513" s="2"/>
      <c r="O513" s="32"/>
      <c r="P513" s="32">
        <f t="shared" si="124"/>
        <v>562</v>
      </c>
      <c r="Q513" s="2"/>
      <c r="R513" s="2"/>
      <c r="S513" s="2"/>
      <c r="T513" s="2"/>
      <c r="U513" s="37">
        <f t="shared" si="120"/>
        <v>1</v>
      </c>
      <c r="V513" s="34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</row>
    <row r="514" spans="1:86">
      <c r="A514" s="35" t="s">
        <v>313</v>
      </c>
      <c r="B514" s="1" t="s">
        <v>316</v>
      </c>
      <c r="C514" s="1" t="s">
        <v>317</v>
      </c>
      <c r="D514" s="1"/>
      <c r="E514" s="2" t="s">
        <v>83</v>
      </c>
      <c r="F514" s="2">
        <v>90</v>
      </c>
      <c r="G514" s="2" t="s">
        <v>318</v>
      </c>
      <c r="H514" s="2">
        <v>50</v>
      </c>
      <c r="I514" s="2">
        <v>564</v>
      </c>
      <c r="J514" s="12">
        <f t="shared" si="122"/>
        <v>564</v>
      </c>
      <c r="K514" s="5">
        <f t="shared" si="123"/>
        <v>12533.333333333332</v>
      </c>
      <c r="L514" s="2">
        <v>1</v>
      </c>
      <c r="M514" s="37">
        <f t="shared" si="121"/>
        <v>1</v>
      </c>
      <c r="N514" s="2"/>
      <c r="O514" s="32"/>
      <c r="P514" s="32">
        <f t="shared" si="124"/>
        <v>564</v>
      </c>
      <c r="Q514" s="2"/>
      <c r="R514" s="2"/>
      <c r="S514" s="2"/>
      <c r="T514" s="2"/>
      <c r="U514" s="37">
        <f t="shared" si="120"/>
        <v>1</v>
      </c>
      <c r="V514" s="34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</row>
    <row r="515" spans="1:86">
      <c r="A515" s="35" t="s">
        <v>313</v>
      </c>
      <c r="B515" s="1" t="s">
        <v>316</v>
      </c>
      <c r="C515" s="1" t="s">
        <v>317</v>
      </c>
      <c r="D515" s="1"/>
      <c r="E515" s="2" t="s">
        <v>83</v>
      </c>
      <c r="F515" s="2">
        <v>90</v>
      </c>
      <c r="G515" s="2" t="s">
        <v>318</v>
      </c>
      <c r="H515" s="2">
        <v>50</v>
      </c>
      <c r="I515" s="2">
        <v>566</v>
      </c>
      <c r="J515" s="12">
        <f t="shared" si="122"/>
        <v>566</v>
      </c>
      <c r="K515" s="5">
        <f t="shared" si="123"/>
        <v>12577.777777777776</v>
      </c>
      <c r="L515" s="2">
        <v>1</v>
      </c>
      <c r="M515" s="37">
        <f t="shared" si="121"/>
        <v>1</v>
      </c>
      <c r="N515" s="2"/>
      <c r="O515" s="32"/>
      <c r="P515" s="32">
        <f t="shared" si="124"/>
        <v>566</v>
      </c>
      <c r="Q515" s="2"/>
      <c r="R515" s="2"/>
      <c r="S515" s="2"/>
      <c r="T515" s="2"/>
      <c r="U515" s="37">
        <f t="shared" si="120"/>
        <v>1</v>
      </c>
      <c r="V515" s="34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</row>
    <row r="516" spans="1:86">
      <c r="A516" s="35" t="s">
        <v>313</v>
      </c>
      <c r="B516" s="1" t="s">
        <v>316</v>
      </c>
      <c r="C516" s="1" t="s">
        <v>317</v>
      </c>
      <c r="D516" s="1"/>
      <c r="E516" s="2" t="s">
        <v>83</v>
      </c>
      <c r="F516" s="2">
        <v>90</v>
      </c>
      <c r="G516" s="2" t="s">
        <v>318</v>
      </c>
      <c r="H516" s="2">
        <v>50</v>
      </c>
      <c r="I516" s="2">
        <v>568</v>
      </c>
      <c r="J516" s="12">
        <f t="shared" si="122"/>
        <v>568</v>
      </c>
      <c r="K516" s="5">
        <f t="shared" si="123"/>
        <v>12622.222222222221</v>
      </c>
      <c r="L516" s="2">
        <v>1</v>
      </c>
      <c r="M516" s="37">
        <f t="shared" si="121"/>
        <v>1</v>
      </c>
      <c r="N516" s="2"/>
      <c r="O516" s="32"/>
      <c r="P516" s="32">
        <f t="shared" si="124"/>
        <v>568</v>
      </c>
      <c r="Q516" s="2"/>
      <c r="R516" s="2"/>
      <c r="S516" s="2"/>
      <c r="T516" s="2"/>
      <c r="U516" s="37">
        <f t="shared" si="120"/>
        <v>1</v>
      </c>
      <c r="V516" s="34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</row>
    <row r="517" spans="1:86">
      <c r="A517" s="35" t="s">
        <v>313</v>
      </c>
      <c r="B517" s="1" t="s">
        <v>316</v>
      </c>
      <c r="C517" s="1" t="s">
        <v>317</v>
      </c>
      <c r="D517" s="1"/>
      <c r="E517" s="2" t="s">
        <v>83</v>
      </c>
      <c r="F517" s="2">
        <v>90</v>
      </c>
      <c r="G517" s="2" t="s">
        <v>318</v>
      </c>
      <c r="H517" s="2">
        <v>50</v>
      </c>
      <c r="I517" s="2">
        <v>567</v>
      </c>
      <c r="J517" s="12">
        <f t="shared" si="122"/>
        <v>567</v>
      </c>
      <c r="K517" s="5">
        <f t="shared" si="123"/>
        <v>12599.999999999998</v>
      </c>
      <c r="L517" s="2">
        <v>1</v>
      </c>
      <c r="M517" s="37">
        <f t="shared" si="121"/>
        <v>1</v>
      </c>
      <c r="N517" s="2"/>
      <c r="O517" s="32"/>
      <c r="P517" s="32">
        <f t="shared" si="124"/>
        <v>567</v>
      </c>
      <c r="Q517" s="2"/>
      <c r="R517" s="2"/>
      <c r="S517" s="2"/>
      <c r="T517" s="2"/>
      <c r="U517" s="37">
        <f t="shared" si="120"/>
        <v>1</v>
      </c>
      <c r="V517" s="34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</row>
    <row r="518" spans="1:86">
      <c r="A518" s="35" t="s">
        <v>313</v>
      </c>
      <c r="B518" s="1" t="s">
        <v>316</v>
      </c>
      <c r="C518" s="1" t="s">
        <v>317</v>
      </c>
      <c r="D518" s="1"/>
      <c r="E518" s="2" t="s">
        <v>83</v>
      </c>
      <c r="F518" s="2">
        <v>90</v>
      </c>
      <c r="G518" s="2" t="s">
        <v>318</v>
      </c>
      <c r="H518" s="2">
        <v>50</v>
      </c>
      <c r="I518" s="2">
        <v>571</v>
      </c>
      <c r="J518" s="12">
        <f t="shared" si="122"/>
        <v>571</v>
      </c>
      <c r="K518" s="5">
        <f t="shared" si="123"/>
        <v>12688.888888888887</v>
      </c>
      <c r="L518" s="2">
        <v>1</v>
      </c>
      <c r="M518" s="37">
        <f t="shared" si="121"/>
        <v>1</v>
      </c>
      <c r="N518" s="2"/>
      <c r="O518" s="32"/>
      <c r="P518" s="32">
        <f t="shared" si="124"/>
        <v>571</v>
      </c>
      <c r="Q518" s="2"/>
      <c r="R518" s="2"/>
      <c r="S518" s="2"/>
      <c r="T518" s="2"/>
      <c r="U518" s="37">
        <f t="shared" si="120"/>
        <v>1</v>
      </c>
      <c r="V518" s="34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</row>
    <row r="519" spans="1:86">
      <c r="A519" s="35" t="s">
        <v>313</v>
      </c>
      <c r="B519" s="1" t="s">
        <v>316</v>
      </c>
      <c r="C519" s="1" t="s">
        <v>317</v>
      </c>
      <c r="D519" s="1"/>
      <c r="E519" s="2" t="s">
        <v>83</v>
      </c>
      <c r="F519" s="2">
        <v>90</v>
      </c>
      <c r="G519" s="2" t="s">
        <v>318</v>
      </c>
      <c r="H519" s="2">
        <v>50</v>
      </c>
      <c r="I519" s="2">
        <v>564</v>
      </c>
      <c r="J519" s="12">
        <f t="shared" si="122"/>
        <v>564</v>
      </c>
      <c r="K519" s="5">
        <f t="shared" si="123"/>
        <v>12533.333333333332</v>
      </c>
      <c r="L519" s="2">
        <v>1</v>
      </c>
      <c r="M519" s="37">
        <f t="shared" ref="M519:M522" si="125">+L519-X519-Z519-AD519-AB519-AF519-AH519-AJ519-AL519-AO519-AQ519-AS519-AU519-AW519-AY519-BA519-BC519-BE519-BG519-BI519-BK519-BM519-BO519-BQ519-BS519-BU519-BW519-BY519-CA519-CC519-CE519-CG519</f>
        <v>1</v>
      </c>
      <c r="N519" s="2"/>
      <c r="O519" s="32"/>
      <c r="P519" s="32">
        <f t="shared" si="124"/>
        <v>564</v>
      </c>
      <c r="Q519" s="2"/>
      <c r="R519" s="2"/>
      <c r="S519" s="2"/>
      <c r="T519" s="2"/>
      <c r="U519" s="37">
        <f t="shared" si="120"/>
        <v>1</v>
      </c>
      <c r="V519" s="34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</row>
    <row r="520" spans="1:86">
      <c r="A520" s="35" t="s">
        <v>313</v>
      </c>
      <c r="B520" s="1" t="s">
        <v>316</v>
      </c>
      <c r="C520" s="1" t="s">
        <v>317</v>
      </c>
      <c r="D520" s="1"/>
      <c r="E520" s="2" t="s">
        <v>83</v>
      </c>
      <c r="F520" s="2">
        <v>90</v>
      </c>
      <c r="G520" s="2" t="s">
        <v>318</v>
      </c>
      <c r="H520" s="2">
        <v>50</v>
      </c>
      <c r="I520" s="2">
        <v>562</v>
      </c>
      <c r="J520" s="12">
        <f t="shared" si="122"/>
        <v>562</v>
      </c>
      <c r="K520" s="5">
        <f t="shared" si="123"/>
        <v>12488.888888888887</v>
      </c>
      <c r="L520" s="2">
        <v>1</v>
      </c>
      <c r="M520" s="37">
        <f t="shared" si="125"/>
        <v>1</v>
      </c>
      <c r="N520" s="2"/>
      <c r="O520" s="32"/>
      <c r="P520" s="32">
        <f t="shared" si="124"/>
        <v>562</v>
      </c>
      <c r="Q520" s="2"/>
      <c r="R520" s="2"/>
      <c r="S520" s="2"/>
      <c r="T520" s="2"/>
      <c r="U520" s="37">
        <f t="shared" si="120"/>
        <v>1</v>
      </c>
      <c r="V520" s="34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</row>
    <row r="521" spans="1:86">
      <c r="A521" s="35" t="s">
        <v>319</v>
      </c>
      <c r="B521" s="1" t="s">
        <v>320</v>
      </c>
      <c r="C521" s="1" t="s">
        <v>320</v>
      </c>
      <c r="D521" s="1"/>
      <c r="E521" s="2" t="s">
        <v>99</v>
      </c>
      <c r="F521" s="2">
        <v>305</v>
      </c>
      <c r="G521" s="2" t="s">
        <v>205</v>
      </c>
      <c r="H521" s="2">
        <v>110</v>
      </c>
      <c r="I521" s="2">
        <v>990</v>
      </c>
      <c r="J521" s="12">
        <f t="shared" si="122"/>
        <v>3960</v>
      </c>
      <c r="K521" s="5">
        <f t="shared" si="123"/>
        <v>11803.27868852459</v>
      </c>
      <c r="L521" s="2">
        <v>4</v>
      </c>
      <c r="M521" s="37">
        <f t="shared" si="125"/>
        <v>4</v>
      </c>
      <c r="N521" s="2"/>
      <c r="O521" s="32"/>
      <c r="P521" s="32"/>
      <c r="Q521" s="2"/>
      <c r="R521" s="2"/>
      <c r="S521" s="2"/>
      <c r="T521" s="2"/>
      <c r="U521" s="37">
        <f t="shared" si="120"/>
        <v>4</v>
      </c>
      <c r="V521" s="34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</row>
    <row r="522" spans="1:86">
      <c r="A522" s="35" t="s">
        <v>319</v>
      </c>
      <c r="B522" s="1" t="s">
        <v>321</v>
      </c>
      <c r="C522" s="1" t="s">
        <v>321</v>
      </c>
      <c r="D522" s="1"/>
      <c r="E522" s="2" t="s">
        <v>99</v>
      </c>
      <c r="F522" s="2">
        <v>305</v>
      </c>
      <c r="G522" s="2" t="s">
        <v>205</v>
      </c>
      <c r="H522" s="2">
        <v>59</v>
      </c>
      <c r="I522" s="2">
        <v>531</v>
      </c>
      <c r="J522" s="12">
        <f t="shared" si="122"/>
        <v>4779</v>
      </c>
      <c r="K522" s="5">
        <f t="shared" si="123"/>
        <v>26557.377049180323</v>
      </c>
      <c r="L522" s="2">
        <v>9</v>
      </c>
      <c r="M522" s="37">
        <f t="shared" si="125"/>
        <v>9</v>
      </c>
      <c r="N522" s="2"/>
      <c r="O522" s="32"/>
      <c r="P522" s="32"/>
      <c r="Q522" s="2"/>
      <c r="R522" s="2"/>
      <c r="S522" s="2"/>
      <c r="T522" s="2"/>
      <c r="U522" s="37">
        <f t="shared" si="120"/>
        <v>9</v>
      </c>
      <c r="V522" s="34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</row>
    <row r="523" spans="1:86">
      <c r="A523" s="35" t="s">
        <v>319</v>
      </c>
      <c r="B523" s="1" t="s">
        <v>322</v>
      </c>
      <c r="C523" s="1" t="s">
        <v>322</v>
      </c>
      <c r="D523" s="1"/>
      <c r="E523" s="2" t="s">
        <v>99</v>
      </c>
      <c r="F523" s="2">
        <v>305</v>
      </c>
      <c r="G523" s="2" t="s">
        <v>205</v>
      </c>
      <c r="H523" s="2">
        <v>84</v>
      </c>
      <c r="I523" s="2">
        <v>756</v>
      </c>
      <c r="J523" s="12">
        <f t="shared" ref="J523:J529" si="126">IFERROR(IF(AND(V523=3,U523&gt;0),I523,I523*U523),"Verify")</f>
        <v>1512</v>
      </c>
      <c r="K523" s="5">
        <f t="shared" ref="K523:K529" si="127">+J523/(F523*H523*10^-5)</f>
        <v>5901.6393442622939</v>
      </c>
      <c r="L523" s="2">
        <v>2</v>
      </c>
      <c r="M523" s="37">
        <f t="shared" ref="M523:M539" si="128">+L523-X523-Z523-AD523-AB523-AF523-AH523-AJ523-AL523-AO523-AQ523-AS523-AU523-AW523-AY523-BA523-BC523-BE523-BG523-BI523-BK523-BM523-BO523-BQ523-BS523-BU523-BW523-BY523-CA523-CC523-CE523-CG523</f>
        <v>2</v>
      </c>
      <c r="N523" s="2"/>
      <c r="O523" s="32"/>
      <c r="P523" s="32"/>
      <c r="Q523" s="2"/>
      <c r="R523" s="2"/>
      <c r="S523" s="2"/>
      <c r="T523" s="2"/>
      <c r="U523" s="37">
        <f t="shared" si="120"/>
        <v>2</v>
      </c>
      <c r="V523" s="34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</row>
    <row r="524" spans="1:86" ht="28.8">
      <c r="A524" s="35" t="s">
        <v>323</v>
      </c>
      <c r="B524" s="1" t="s">
        <v>314</v>
      </c>
      <c r="C524" s="1" t="s">
        <v>314</v>
      </c>
      <c r="D524" s="1" t="s">
        <v>257</v>
      </c>
      <c r="E524" s="2" t="s">
        <v>92</v>
      </c>
      <c r="F524" s="2">
        <v>140</v>
      </c>
      <c r="G524" s="2" t="s">
        <v>315</v>
      </c>
      <c r="H524" s="2">
        <v>94</v>
      </c>
      <c r="I524" s="2">
        <v>901.4</v>
      </c>
      <c r="J524" s="12">
        <f t="shared" si="126"/>
        <v>13521</v>
      </c>
      <c r="K524" s="5">
        <f t="shared" si="127"/>
        <v>102743.16109422491</v>
      </c>
      <c r="L524" s="2">
        <v>15</v>
      </c>
      <c r="M524" s="37">
        <f t="shared" si="128"/>
        <v>15</v>
      </c>
      <c r="N524" s="2"/>
      <c r="O524" s="32"/>
      <c r="P524" s="32">
        <f>+J524-O524</f>
        <v>13521</v>
      </c>
      <c r="Q524" s="2"/>
      <c r="R524" s="2"/>
      <c r="S524" s="2"/>
      <c r="T524" s="2"/>
      <c r="U524" s="37">
        <f t="shared" si="120"/>
        <v>15</v>
      </c>
      <c r="V524" s="34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</row>
    <row r="525" spans="1:86">
      <c r="A525" s="35" t="s">
        <v>319</v>
      </c>
      <c r="B525" s="1" t="s">
        <v>322</v>
      </c>
      <c r="C525" s="1" t="s">
        <v>322</v>
      </c>
      <c r="D525" s="1"/>
      <c r="E525" s="2" t="s">
        <v>99</v>
      </c>
      <c r="F525" s="2">
        <v>305</v>
      </c>
      <c r="G525" s="2" t="s">
        <v>205</v>
      </c>
      <c r="H525" s="2">
        <v>84</v>
      </c>
      <c r="I525" s="2">
        <v>756</v>
      </c>
      <c r="J525" s="12">
        <f t="shared" si="126"/>
        <v>4536</v>
      </c>
      <c r="K525" s="5">
        <f t="shared" si="127"/>
        <v>17704.918032786882</v>
      </c>
      <c r="L525" s="2">
        <v>10</v>
      </c>
      <c r="M525" s="37">
        <f t="shared" si="128"/>
        <v>6</v>
      </c>
      <c r="N525" s="2"/>
      <c r="O525" s="32"/>
      <c r="P525" s="32"/>
      <c r="Q525" s="2"/>
      <c r="R525" s="2"/>
      <c r="S525" s="2"/>
      <c r="T525" s="2"/>
      <c r="U525" s="37">
        <f t="shared" si="120"/>
        <v>6</v>
      </c>
      <c r="V525" s="34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>
        <v>4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</row>
    <row r="526" spans="1:86">
      <c r="A526" s="35" t="s">
        <v>324</v>
      </c>
      <c r="B526" s="1" t="s">
        <v>314</v>
      </c>
      <c r="C526" s="1" t="s">
        <v>314</v>
      </c>
      <c r="D526" s="1"/>
      <c r="E526" s="2" t="s">
        <v>92</v>
      </c>
      <c r="F526" s="2">
        <v>140</v>
      </c>
      <c r="G526" s="2" t="s">
        <v>315</v>
      </c>
      <c r="H526" s="2">
        <v>94</v>
      </c>
      <c r="I526" s="2">
        <v>901.4</v>
      </c>
      <c r="J526" s="12">
        <f t="shared" si="126"/>
        <v>10816.8</v>
      </c>
      <c r="K526" s="5">
        <f t="shared" si="127"/>
        <v>82194.528875379925</v>
      </c>
      <c r="L526" s="2">
        <v>12</v>
      </c>
      <c r="M526" s="37">
        <f t="shared" si="128"/>
        <v>12</v>
      </c>
      <c r="N526" s="2"/>
      <c r="O526" s="32"/>
      <c r="P526" s="32"/>
      <c r="Q526" s="2"/>
      <c r="R526" s="2"/>
      <c r="S526" s="2"/>
      <c r="T526" s="2"/>
      <c r="U526" s="37">
        <f t="shared" si="120"/>
        <v>12</v>
      </c>
      <c r="V526" s="34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</row>
    <row r="527" spans="1:86" ht="28.8">
      <c r="A527" s="35">
        <v>45870</v>
      </c>
      <c r="B527" s="1" t="s">
        <v>325</v>
      </c>
      <c r="C527" s="1" t="s">
        <v>325</v>
      </c>
      <c r="D527" s="1" t="s">
        <v>257</v>
      </c>
      <c r="E527" s="2" t="s">
        <v>92</v>
      </c>
      <c r="F527" s="2">
        <v>140</v>
      </c>
      <c r="G527" s="2" t="s">
        <v>315</v>
      </c>
      <c r="H527" s="2">
        <v>90</v>
      </c>
      <c r="I527" s="2">
        <v>863.1</v>
      </c>
      <c r="J527" s="12">
        <f t="shared" si="126"/>
        <v>5178.6000000000004</v>
      </c>
      <c r="K527" s="5">
        <f t="shared" si="127"/>
        <v>41100</v>
      </c>
      <c r="L527" s="2">
        <v>6</v>
      </c>
      <c r="M527" s="37">
        <f t="shared" si="128"/>
        <v>6</v>
      </c>
      <c r="N527" s="2"/>
      <c r="O527" s="32"/>
      <c r="P527" s="32"/>
      <c r="Q527" s="2"/>
      <c r="R527" s="2"/>
      <c r="S527" s="2"/>
      <c r="T527" s="2"/>
      <c r="U527" s="37">
        <f t="shared" si="120"/>
        <v>6</v>
      </c>
      <c r="V527" s="34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</row>
    <row r="528" spans="1:86" ht="28.8">
      <c r="A528" s="35">
        <v>45870</v>
      </c>
      <c r="B528" s="1" t="s">
        <v>326</v>
      </c>
      <c r="C528" s="1" t="s">
        <v>326</v>
      </c>
      <c r="D528" s="1" t="s">
        <v>257</v>
      </c>
      <c r="E528" s="2" t="s">
        <v>92</v>
      </c>
      <c r="F528" s="2">
        <v>140</v>
      </c>
      <c r="G528" s="2" t="s">
        <v>315</v>
      </c>
      <c r="H528" s="2">
        <v>78.5</v>
      </c>
      <c r="I528" s="2">
        <v>752.8</v>
      </c>
      <c r="J528" s="12">
        <f t="shared" si="126"/>
        <v>752.8</v>
      </c>
      <c r="K528" s="5">
        <f t="shared" si="127"/>
        <v>6849.8635122838932</v>
      </c>
      <c r="L528" s="2">
        <v>1</v>
      </c>
      <c r="M528" s="37">
        <f t="shared" si="128"/>
        <v>1</v>
      </c>
      <c r="N528" s="2"/>
      <c r="O528" s="32"/>
      <c r="P528" s="32"/>
      <c r="Q528" s="2"/>
      <c r="R528" s="2"/>
      <c r="S528" s="2"/>
      <c r="T528" s="2"/>
      <c r="U528" s="37">
        <f t="shared" si="120"/>
        <v>1</v>
      </c>
      <c r="V528" s="34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</row>
    <row r="529" spans="1:86" ht="28.8">
      <c r="A529" s="35">
        <v>45870</v>
      </c>
      <c r="B529" s="1" t="s">
        <v>327</v>
      </c>
      <c r="C529" s="1" t="s">
        <v>328</v>
      </c>
      <c r="D529" s="1" t="s">
        <v>257</v>
      </c>
      <c r="E529" s="2" t="s">
        <v>29</v>
      </c>
      <c r="F529" s="2">
        <v>130</v>
      </c>
      <c r="G529" s="2" t="s">
        <v>47</v>
      </c>
      <c r="H529" s="2">
        <v>72</v>
      </c>
      <c r="I529" s="2">
        <v>561.6</v>
      </c>
      <c r="J529" s="12">
        <f t="shared" si="126"/>
        <v>2246.4</v>
      </c>
      <c r="K529" s="5">
        <f t="shared" si="127"/>
        <v>24000</v>
      </c>
      <c r="L529" s="2">
        <v>4</v>
      </c>
      <c r="M529" s="37">
        <f t="shared" si="128"/>
        <v>4</v>
      </c>
      <c r="N529" s="2"/>
      <c r="O529" s="32">
        <f>J529</f>
        <v>2246.4</v>
      </c>
      <c r="P529" s="32">
        <f>+J529-O529</f>
        <v>0</v>
      </c>
      <c r="Q529" s="2"/>
      <c r="R529" s="2"/>
      <c r="S529" s="2"/>
      <c r="T529" s="2"/>
      <c r="U529" s="37">
        <f t="shared" si="120"/>
        <v>4</v>
      </c>
      <c r="V529" s="34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</row>
    <row r="530" spans="1:86" ht="28.8">
      <c r="A530" s="35">
        <v>45870</v>
      </c>
      <c r="B530" s="1" t="s">
        <v>327</v>
      </c>
      <c r="C530" s="1" t="s">
        <v>328</v>
      </c>
      <c r="D530" s="1" t="s">
        <v>257</v>
      </c>
      <c r="E530" s="2" t="s">
        <v>29</v>
      </c>
      <c r="F530" s="2">
        <v>130</v>
      </c>
      <c r="G530" s="2" t="s">
        <v>47</v>
      </c>
      <c r="H530" s="2">
        <v>72</v>
      </c>
      <c r="I530" s="2">
        <v>561.6</v>
      </c>
      <c r="J530" s="12">
        <f t="shared" ref="J530:J539" si="129">IFERROR(IF(AND(V530=3,U530&gt;0),I530,I530*U530),"Verify")</f>
        <v>561.6</v>
      </c>
      <c r="K530" s="5">
        <f t="shared" ref="K530:K539" si="130">+J530/(F530*H530*10^-5)</f>
        <v>6000</v>
      </c>
      <c r="L530" s="2">
        <v>1</v>
      </c>
      <c r="M530" s="37">
        <f t="shared" si="128"/>
        <v>1</v>
      </c>
      <c r="N530" s="2"/>
      <c r="O530" s="32">
        <f>J530</f>
        <v>561.6</v>
      </c>
      <c r="P530" s="32">
        <f>+J530-O530</f>
        <v>0</v>
      </c>
      <c r="Q530" s="2"/>
      <c r="R530" s="2"/>
      <c r="S530" s="2"/>
      <c r="T530" s="2"/>
      <c r="U530" s="37">
        <f t="shared" si="120"/>
        <v>1</v>
      </c>
      <c r="V530" s="34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</row>
    <row r="531" spans="1:86" ht="28.8">
      <c r="A531" s="35">
        <v>45870</v>
      </c>
      <c r="B531" s="1"/>
      <c r="C531" s="1"/>
      <c r="D531" s="1" t="s">
        <v>257</v>
      </c>
      <c r="E531" s="2" t="s">
        <v>29</v>
      </c>
      <c r="F531" s="2">
        <v>140</v>
      </c>
      <c r="G531" s="2" t="s">
        <v>53</v>
      </c>
      <c r="H531" s="2">
        <v>66</v>
      </c>
      <c r="I531" s="2">
        <v>485</v>
      </c>
      <c r="J531" s="12">
        <f t="shared" si="129"/>
        <v>970</v>
      </c>
      <c r="K531" s="5">
        <f t="shared" si="130"/>
        <v>10497.835497835496</v>
      </c>
      <c r="L531" s="2">
        <v>2</v>
      </c>
      <c r="M531" s="37">
        <f t="shared" si="128"/>
        <v>2</v>
      </c>
      <c r="N531" s="2"/>
      <c r="O531" s="32"/>
      <c r="P531" s="32">
        <f>+J531-O531</f>
        <v>970</v>
      </c>
      <c r="Q531" s="2"/>
      <c r="R531" s="2"/>
      <c r="S531" s="2"/>
      <c r="T531" s="2"/>
      <c r="U531" s="37">
        <f t="shared" si="120"/>
        <v>2</v>
      </c>
      <c r="V531" s="34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</row>
    <row r="532" spans="1:86" ht="28.8">
      <c r="A532" s="35">
        <v>45870</v>
      </c>
      <c r="B532" s="1" t="s">
        <v>329</v>
      </c>
      <c r="C532" s="1" t="s">
        <v>329</v>
      </c>
      <c r="D532" s="1" t="s">
        <v>257</v>
      </c>
      <c r="E532" s="2" t="s">
        <v>37</v>
      </c>
      <c r="F532" s="2">
        <v>400</v>
      </c>
      <c r="G532" s="2" t="s">
        <v>301</v>
      </c>
      <c r="H532" s="2">
        <v>84</v>
      </c>
      <c r="I532" s="2">
        <f>1977/3</f>
        <v>659</v>
      </c>
      <c r="J532" s="12">
        <f t="shared" si="129"/>
        <v>5931</v>
      </c>
      <c r="K532" s="5">
        <f t="shared" si="130"/>
        <v>17651.785714285714</v>
      </c>
      <c r="L532" s="2">
        <v>9</v>
      </c>
      <c r="M532" s="37">
        <f t="shared" si="128"/>
        <v>9</v>
      </c>
      <c r="N532" s="2"/>
      <c r="O532" s="32"/>
      <c r="P532" s="32"/>
      <c r="Q532" s="2"/>
      <c r="R532" s="2"/>
      <c r="S532" s="2"/>
      <c r="T532" s="2"/>
      <c r="U532" s="37">
        <f t="shared" si="120"/>
        <v>9</v>
      </c>
      <c r="V532" s="34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</row>
    <row r="533" spans="1:86" ht="28.8">
      <c r="A533" s="35">
        <v>45870</v>
      </c>
      <c r="B533" s="1" t="s">
        <v>300</v>
      </c>
      <c r="C533" s="1" t="s">
        <v>300</v>
      </c>
      <c r="D533" s="1" t="s">
        <v>257</v>
      </c>
      <c r="E533" s="2" t="s">
        <v>37</v>
      </c>
      <c r="F533" s="2">
        <v>350</v>
      </c>
      <c r="G533" s="2" t="s">
        <v>301</v>
      </c>
      <c r="H533" s="2">
        <v>168</v>
      </c>
      <c r="I533" s="2">
        <f>13290/10</f>
        <v>1329</v>
      </c>
      <c r="J533" s="12">
        <f t="shared" si="129"/>
        <v>6645</v>
      </c>
      <c r="K533" s="5">
        <f t="shared" si="130"/>
        <v>11301.020408163264</v>
      </c>
      <c r="L533" s="2">
        <v>5</v>
      </c>
      <c r="M533" s="37">
        <f t="shared" si="128"/>
        <v>5</v>
      </c>
      <c r="N533" s="2"/>
      <c r="O533" s="32"/>
      <c r="P533" s="32"/>
      <c r="Q533" s="2"/>
      <c r="R533" s="2"/>
      <c r="S533" s="2"/>
      <c r="T533" s="2"/>
      <c r="U533" s="37">
        <f t="shared" si="120"/>
        <v>5</v>
      </c>
      <c r="V533" s="34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</row>
    <row r="534" spans="1:86" ht="28.8">
      <c r="A534" s="35">
        <v>45871</v>
      </c>
      <c r="B534" s="1" t="s">
        <v>329</v>
      </c>
      <c r="C534" s="1" t="s">
        <v>329</v>
      </c>
      <c r="D534" s="1" t="s">
        <v>257</v>
      </c>
      <c r="E534" s="2" t="s">
        <v>37</v>
      </c>
      <c r="F534" s="2">
        <v>400</v>
      </c>
      <c r="G534" s="2" t="s">
        <v>301</v>
      </c>
      <c r="H534" s="2">
        <v>84</v>
      </c>
      <c r="I534" s="2">
        <f>1977/3</f>
        <v>659</v>
      </c>
      <c r="J534" s="12">
        <f t="shared" si="129"/>
        <v>659</v>
      </c>
      <c r="K534" s="5">
        <f t="shared" si="130"/>
        <v>1961.3095238095236</v>
      </c>
      <c r="L534" s="2">
        <v>1</v>
      </c>
      <c r="M534" s="37">
        <f t="shared" si="128"/>
        <v>1</v>
      </c>
      <c r="N534" s="2"/>
      <c r="O534" s="32"/>
      <c r="P534" s="32"/>
      <c r="Q534" s="2"/>
      <c r="R534" s="2"/>
      <c r="S534" s="2"/>
      <c r="T534" s="2"/>
      <c r="U534" s="37">
        <f t="shared" si="120"/>
        <v>1</v>
      </c>
      <c r="V534" s="34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</row>
    <row r="535" spans="1:86" ht="28.8">
      <c r="A535" s="35">
        <v>45871</v>
      </c>
      <c r="B535" s="1" t="s">
        <v>330</v>
      </c>
      <c r="C535" s="1" t="s">
        <v>331</v>
      </c>
      <c r="D535" s="1" t="s">
        <v>257</v>
      </c>
      <c r="E535" s="2" t="s">
        <v>37</v>
      </c>
      <c r="F535" s="2">
        <v>350</v>
      </c>
      <c r="G535" s="2" t="s">
        <v>58</v>
      </c>
      <c r="H535" s="2">
        <v>90</v>
      </c>
      <c r="I535" s="2">
        <v>808</v>
      </c>
      <c r="J535" s="12">
        <f t="shared" si="129"/>
        <v>808</v>
      </c>
      <c r="K535" s="5">
        <f t="shared" si="130"/>
        <v>2565.0793650793648</v>
      </c>
      <c r="L535" s="2">
        <v>1</v>
      </c>
      <c r="M535" s="37">
        <f t="shared" si="128"/>
        <v>1</v>
      </c>
      <c r="N535" s="2"/>
      <c r="O535" s="32"/>
      <c r="P535" s="32"/>
      <c r="Q535" s="2"/>
      <c r="R535" s="2"/>
      <c r="S535" s="2"/>
      <c r="T535" s="2"/>
      <c r="U535" s="37">
        <f t="shared" si="120"/>
        <v>1</v>
      </c>
      <c r="V535" s="34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</row>
    <row r="536" spans="1:86" ht="28.8">
      <c r="A536" s="35">
        <v>45871</v>
      </c>
      <c r="B536" s="1" t="s">
        <v>332</v>
      </c>
      <c r="C536" s="1" t="s">
        <v>332</v>
      </c>
      <c r="D536" s="1" t="s">
        <v>257</v>
      </c>
      <c r="E536" s="2" t="s">
        <v>37</v>
      </c>
      <c r="F536" s="2">
        <v>400</v>
      </c>
      <c r="G536" s="2" t="s">
        <v>58</v>
      </c>
      <c r="H536" s="2">
        <v>120</v>
      </c>
      <c r="I536" s="2">
        <v>1070</v>
      </c>
      <c r="J536" s="12">
        <f t="shared" si="129"/>
        <v>8560</v>
      </c>
      <c r="K536" s="5">
        <f t="shared" si="130"/>
        <v>17833.333333333332</v>
      </c>
      <c r="L536" s="2">
        <v>8</v>
      </c>
      <c r="M536" s="37">
        <f t="shared" si="128"/>
        <v>8</v>
      </c>
      <c r="N536" s="2"/>
      <c r="O536" s="32"/>
      <c r="P536" s="32"/>
      <c r="Q536" s="2"/>
      <c r="R536" s="2"/>
      <c r="S536" s="2"/>
      <c r="T536" s="2"/>
      <c r="U536" s="37">
        <f t="shared" si="120"/>
        <v>8</v>
      </c>
      <c r="V536" s="34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</row>
    <row r="537" spans="1:86" ht="28.8">
      <c r="A537" s="35">
        <v>45871</v>
      </c>
      <c r="B537" s="1" t="s">
        <v>302</v>
      </c>
      <c r="C537" s="1" t="s">
        <v>57</v>
      </c>
      <c r="D537" s="1" t="s">
        <v>257</v>
      </c>
      <c r="E537" s="2" t="s">
        <v>37</v>
      </c>
      <c r="F537" s="2">
        <v>350</v>
      </c>
      <c r="G537" s="2" t="s">
        <v>58</v>
      </c>
      <c r="H537" s="2">
        <v>67</v>
      </c>
      <c r="I537" s="2">
        <v>601</v>
      </c>
      <c r="J537" s="12">
        <f t="shared" si="129"/>
        <v>2404</v>
      </c>
      <c r="K537" s="5">
        <f t="shared" si="130"/>
        <v>10251.599147121535</v>
      </c>
      <c r="L537" s="2">
        <v>4</v>
      </c>
      <c r="M537" s="37">
        <f t="shared" si="128"/>
        <v>4</v>
      </c>
      <c r="N537" s="2"/>
      <c r="O537" s="32"/>
      <c r="P537" s="32">
        <f t="shared" ref="P537:P538" si="131">+J537-O537</f>
        <v>2404</v>
      </c>
      <c r="Q537" s="2"/>
      <c r="R537" s="2"/>
      <c r="S537" s="2"/>
      <c r="T537" s="2"/>
      <c r="U537" s="37">
        <f t="shared" si="120"/>
        <v>4</v>
      </c>
      <c r="V537" s="34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</row>
    <row r="538" spans="1:86" ht="28.8">
      <c r="A538" s="35">
        <v>45871</v>
      </c>
      <c r="B538" s="1" t="s">
        <v>302</v>
      </c>
      <c r="C538" s="1" t="s">
        <v>57</v>
      </c>
      <c r="D538" s="1" t="s">
        <v>257</v>
      </c>
      <c r="E538" s="2" t="s">
        <v>37</v>
      </c>
      <c r="F538" s="2">
        <v>350</v>
      </c>
      <c r="G538" s="2" t="s">
        <v>58</v>
      </c>
      <c r="H538" s="2">
        <v>67</v>
      </c>
      <c r="I538" s="2">
        <v>597</v>
      </c>
      <c r="J538" s="12">
        <f t="shared" si="129"/>
        <v>1791</v>
      </c>
      <c r="K538" s="5">
        <f t="shared" si="130"/>
        <v>7637.5266524520248</v>
      </c>
      <c r="L538" s="2">
        <v>3</v>
      </c>
      <c r="M538" s="37">
        <f t="shared" si="128"/>
        <v>3</v>
      </c>
      <c r="N538" s="2"/>
      <c r="O538" s="32"/>
      <c r="P538" s="32">
        <f t="shared" si="131"/>
        <v>1791</v>
      </c>
      <c r="Q538" s="2"/>
      <c r="R538" s="2"/>
      <c r="S538" s="2"/>
      <c r="T538" s="2"/>
      <c r="U538" s="37">
        <f t="shared" si="120"/>
        <v>3</v>
      </c>
      <c r="V538" s="34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</row>
    <row r="539" spans="1:86" ht="28.8">
      <c r="A539" s="35">
        <v>45871</v>
      </c>
      <c r="B539" s="1" t="s">
        <v>332</v>
      </c>
      <c r="C539" s="1" t="s">
        <v>332</v>
      </c>
      <c r="D539" s="1" t="s">
        <v>257</v>
      </c>
      <c r="E539" s="2" t="s">
        <v>37</v>
      </c>
      <c r="F539" s="2">
        <v>400</v>
      </c>
      <c r="G539" s="2" t="s">
        <v>58</v>
      </c>
      <c r="H539" s="2">
        <v>120</v>
      </c>
      <c r="I539" s="2">
        <v>1061</v>
      </c>
      <c r="J539" s="12">
        <f t="shared" si="129"/>
        <v>2122</v>
      </c>
      <c r="K539" s="5">
        <f t="shared" si="130"/>
        <v>4420.833333333333</v>
      </c>
      <c r="L539" s="2">
        <v>2</v>
      </c>
      <c r="M539" s="37">
        <f t="shared" si="128"/>
        <v>2</v>
      </c>
      <c r="N539" s="2"/>
      <c r="O539" s="32"/>
      <c r="P539" s="32"/>
      <c r="Q539" s="2"/>
      <c r="R539" s="2"/>
      <c r="S539" s="2"/>
      <c r="T539" s="2"/>
      <c r="U539" s="37">
        <f t="shared" ref="U539:U590" si="132">+L539-X539-Z539-AD539-AB539-AF539-AH539-AJ539-AL539-AO539-AQ539-AS539-AU539-AW539-AY539-BA539-BC539-BE539-BG539-BI539-BK539-BM539-BO539-BQ539-BS539-BU539-BW539-BY539-CA539-CC539-CE539-CG539</f>
        <v>2</v>
      </c>
      <c r="V539" s="34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</row>
    <row r="540" spans="1:86" ht="28.8">
      <c r="A540" s="35">
        <v>45873</v>
      </c>
      <c r="B540" s="1" t="s">
        <v>326</v>
      </c>
      <c r="C540" s="1" t="s">
        <v>326</v>
      </c>
      <c r="D540" s="1" t="s">
        <v>257</v>
      </c>
      <c r="E540" s="2" t="s">
        <v>92</v>
      </c>
      <c r="F540" s="2">
        <v>140</v>
      </c>
      <c r="G540" s="2" t="s">
        <v>315</v>
      </c>
      <c r="H540" s="2">
        <v>78.5</v>
      </c>
      <c r="I540" s="2">
        <v>752.8</v>
      </c>
      <c r="J540" s="12">
        <f t="shared" ref="J540:J541" si="133">IFERROR(IF(AND(V540=3,U540&gt;0),I540,I540*U540),"Verify")</f>
        <v>4516.7999999999993</v>
      </c>
      <c r="K540" s="5">
        <f t="shared" ref="K540:K541" si="134">+J540/(F540*H540*10^-5)</f>
        <v>41099.181073703359</v>
      </c>
      <c r="L540" s="2">
        <v>6</v>
      </c>
      <c r="M540" s="37">
        <f t="shared" ref="M540:M541" si="135">+L540-X540-Z540-AD540-AB540-AF540-AH540-AJ540-AL540-AO540-AQ540-AS540-AU540-AW540-AY540-BA540-BC540-BE540-BG540-BI540-BK540-BM540-BO540-BQ540-BS540-BU540-BW540-BY540-CA540-CC540-CE540-CG540</f>
        <v>6</v>
      </c>
      <c r="N540" s="2"/>
      <c r="O540" s="32"/>
      <c r="P540" s="32"/>
      <c r="Q540" s="2"/>
      <c r="R540" s="2"/>
      <c r="S540" s="2"/>
      <c r="T540" s="2"/>
      <c r="U540" s="37">
        <f t="shared" si="132"/>
        <v>6</v>
      </c>
      <c r="V540" s="34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</row>
    <row r="541" spans="1:86" ht="28.8">
      <c r="A541" s="35">
        <v>45874</v>
      </c>
      <c r="B541" s="1" t="s">
        <v>326</v>
      </c>
      <c r="C541" s="1" t="s">
        <v>326</v>
      </c>
      <c r="D541" s="1" t="s">
        <v>257</v>
      </c>
      <c r="E541" s="2" t="s">
        <v>92</v>
      </c>
      <c r="F541" s="2">
        <v>140</v>
      </c>
      <c r="G541" s="2" t="s">
        <v>315</v>
      </c>
      <c r="H541" s="2">
        <v>78.5</v>
      </c>
      <c r="I541" s="2">
        <v>752.8</v>
      </c>
      <c r="J541" s="12">
        <f t="shared" si="133"/>
        <v>752.8</v>
      </c>
      <c r="K541" s="5">
        <f t="shared" si="134"/>
        <v>6849.8635122838932</v>
      </c>
      <c r="L541" s="2">
        <v>1</v>
      </c>
      <c r="M541" s="37">
        <f t="shared" si="135"/>
        <v>1</v>
      </c>
      <c r="N541" s="2"/>
      <c r="O541" s="32"/>
      <c r="P541" s="32"/>
      <c r="Q541" s="2"/>
      <c r="R541" s="2"/>
      <c r="S541" s="2"/>
      <c r="T541" s="2"/>
      <c r="U541" s="37">
        <f t="shared" si="132"/>
        <v>1</v>
      </c>
      <c r="V541" s="34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</row>
    <row r="542" spans="1:86" ht="28.8">
      <c r="A542" s="35">
        <v>45875</v>
      </c>
      <c r="B542" s="1" t="s">
        <v>327</v>
      </c>
      <c r="C542" s="1" t="s">
        <v>328</v>
      </c>
      <c r="D542" s="1" t="s">
        <v>257</v>
      </c>
      <c r="E542" s="2" t="s">
        <v>29</v>
      </c>
      <c r="F542" s="2">
        <v>130</v>
      </c>
      <c r="G542" s="2" t="s">
        <v>47</v>
      </c>
      <c r="H542" s="2">
        <v>72</v>
      </c>
      <c r="I542" s="2">
        <v>561.6</v>
      </c>
      <c r="J542" s="12">
        <f t="shared" ref="J542:J545" si="136">IFERROR(IF(AND(V542=3,U542&gt;0),I542,I542*U542),"Verify")</f>
        <v>561.6</v>
      </c>
      <c r="K542" s="5">
        <f t="shared" ref="K542:K545" si="137">+J542/(F542*H542*10^-5)</f>
        <v>6000</v>
      </c>
      <c r="L542" s="2">
        <v>1</v>
      </c>
      <c r="M542" s="37">
        <f t="shared" ref="M542:M543" si="138">+L542-X542-Z542-AD542-AB542-AF542-AH542-AJ542-AL542-AO542-AQ542-AS542-AU542-AW542-AY542-BA542-BC542-BE542-BG542-BI542-BK542-BM542-BO542-BQ542-BS542-BU542-BW542-BY542-CA542-CC542-CE542-CG542</f>
        <v>1</v>
      </c>
      <c r="N542" s="2"/>
      <c r="O542" s="32">
        <f t="shared" ref="O542" si="139">J542</f>
        <v>561.6</v>
      </c>
      <c r="P542" s="32">
        <f t="shared" ref="P542" si="140">+J542-O542</f>
        <v>0</v>
      </c>
      <c r="Q542" s="2"/>
      <c r="R542" s="2"/>
      <c r="S542" s="2"/>
      <c r="T542" s="2"/>
      <c r="U542" s="37">
        <f t="shared" si="132"/>
        <v>1</v>
      </c>
      <c r="V542" s="34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</row>
    <row r="543" spans="1:86">
      <c r="A543" s="35">
        <v>45881</v>
      </c>
      <c r="B543" s="1"/>
      <c r="C543" s="1"/>
      <c r="D543" s="1"/>
      <c r="E543" s="2" t="s">
        <v>245</v>
      </c>
      <c r="F543" s="2">
        <v>72</v>
      </c>
      <c r="G543" s="2" t="s">
        <v>333</v>
      </c>
      <c r="H543" s="2">
        <v>91</v>
      </c>
      <c r="I543" s="2">
        <v>739</v>
      </c>
      <c r="J543" s="12">
        <f t="shared" si="136"/>
        <v>739</v>
      </c>
      <c r="K543" s="5">
        <f t="shared" si="137"/>
        <v>11278.998778998777</v>
      </c>
      <c r="L543" s="2">
        <v>1</v>
      </c>
      <c r="M543" s="37">
        <f t="shared" si="138"/>
        <v>1</v>
      </c>
      <c r="N543" s="2" t="s">
        <v>248</v>
      </c>
      <c r="O543" s="32">
        <f>J543</f>
        <v>739</v>
      </c>
      <c r="P543" s="32"/>
      <c r="Q543" s="2"/>
      <c r="R543" s="2"/>
      <c r="S543" s="2"/>
      <c r="T543" s="2"/>
      <c r="U543" s="37">
        <f t="shared" si="132"/>
        <v>1</v>
      </c>
      <c r="V543" s="34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</row>
    <row r="544" spans="1:86">
      <c r="A544" s="35">
        <v>45881</v>
      </c>
      <c r="B544" s="1"/>
      <c r="C544" s="1"/>
      <c r="D544" s="1"/>
      <c r="E544" s="2" t="s">
        <v>245</v>
      </c>
      <c r="F544" s="2">
        <v>63</v>
      </c>
      <c r="G544" s="2" t="s">
        <v>333</v>
      </c>
      <c r="H544" s="2">
        <v>126</v>
      </c>
      <c r="I544" s="2">
        <v>919</v>
      </c>
      <c r="J544" s="12">
        <f t="shared" si="136"/>
        <v>919</v>
      </c>
      <c r="K544" s="5">
        <f t="shared" si="137"/>
        <v>11577.223481985386</v>
      </c>
      <c r="L544" s="2">
        <v>1</v>
      </c>
      <c r="M544" s="37">
        <f t="shared" ref="M544:M592" si="141">+L544-X544-Z544-AD544-AB544-AF544-AH544-AJ544-AL544-AO544-AQ544-AS544-AU544-AW544-AY544-BA544-BC544-BE544-BG544-BI544-BK544-BM544-BO544-BQ544-BS544-BU544-BW544-BY544-CA544-CC544-CE544-CG544</f>
        <v>1</v>
      </c>
      <c r="N544" s="2"/>
      <c r="O544" s="32"/>
      <c r="P544" s="32"/>
      <c r="Q544" s="2"/>
      <c r="R544" s="2"/>
      <c r="S544" s="2"/>
      <c r="T544" s="2"/>
      <c r="U544" s="37">
        <f t="shared" si="132"/>
        <v>1</v>
      </c>
      <c r="V544" s="34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</row>
    <row r="545" spans="1:86">
      <c r="A545" s="35">
        <v>45881</v>
      </c>
      <c r="B545" s="1"/>
      <c r="C545" s="1"/>
      <c r="D545" s="1"/>
      <c r="E545" s="2" t="s">
        <v>245</v>
      </c>
      <c r="F545" s="2">
        <v>57</v>
      </c>
      <c r="G545" s="2" t="s">
        <v>333</v>
      </c>
      <c r="H545" s="2">
        <v>135</v>
      </c>
      <c r="I545" s="2">
        <v>1342</v>
      </c>
      <c r="J545" s="12">
        <f t="shared" si="136"/>
        <v>1342</v>
      </c>
      <c r="K545" s="5">
        <f t="shared" si="137"/>
        <v>17439.896036387265</v>
      </c>
      <c r="L545" s="2">
        <v>1</v>
      </c>
      <c r="M545" s="37">
        <f t="shared" si="141"/>
        <v>1</v>
      </c>
      <c r="N545" s="2"/>
      <c r="O545" s="32"/>
      <c r="P545" s="32"/>
      <c r="Q545" s="2"/>
      <c r="R545" s="2"/>
      <c r="S545" s="2"/>
      <c r="T545" s="2"/>
      <c r="U545" s="37">
        <f t="shared" si="132"/>
        <v>1</v>
      </c>
      <c r="V545" s="34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</row>
    <row r="546" spans="1:86">
      <c r="A546" s="35">
        <v>45881</v>
      </c>
      <c r="B546" s="1"/>
      <c r="C546" s="1"/>
      <c r="D546" s="1"/>
      <c r="E546" s="2" t="s">
        <v>245</v>
      </c>
      <c r="F546" s="2">
        <v>55</v>
      </c>
      <c r="G546" s="2" t="s">
        <v>333</v>
      </c>
      <c r="H546" s="2">
        <v>92</v>
      </c>
      <c r="I546" s="2">
        <v>910</v>
      </c>
      <c r="J546" s="12">
        <f t="shared" ref="J546:J589" si="142">IFERROR(IF(AND(V546=3,U546&gt;0),I546,I546*U546),"Verify")</f>
        <v>910</v>
      </c>
      <c r="K546" s="5">
        <f t="shared" ref="K546:K589" si="143">+J546/(F546*H546*10^-5)</f>
        <v>17984.189723320156</v>
      </c>
      <c r="L546" s="2">
        <v>1</v>
      </c>
      <c r="M546" s="37">
        <f t="shared" si="141"/>
        <v>1</v>
      </c>
      <c r="N546" s="2"/>
      <c r="O546" s="32"/>
      <c r="P546" s="32"/>
      <c r="Q546" s="2"/>
      <c r="R546" s="2"/>
      <c r="S546" s="2"/>
      <c r="T546" s="2"/>
      <c r="U546" s="37">
        <f t="shared" si="132"/>
        <v>1</v>
      </c>
      <c r="V546" s="34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</row>
    <row r="547" spans="1:86">
      <c r="A547" s="35">
        <v>45881</v>
      </c>
      <c r="B547" s="1"/>
      <c r="C547" s="1"/>
      <c r="D547" s="1"/>
      <c r="E547" s="2" t="s">
        <v>245</v>
      </c>
      <c r="F547" s="2">
        <v>71</v>
      </c>
      <c r="G547" s="2" t="s">
        <v>333</v>
      </c>
      <c r="H547" s="2">
        <v>98</v>
      </c>
      <c r="I547" s="2">
        <v>895</v>
      </c>
      <c r="J547" s="12">
        <f t="shared" si="142"/>
        <v>895</v>
      </c>
      <c r="K547" s="5">
        <f t="shared" si="143"/>
        <v>12862.89163552745</v>
      </c>
      <c r="L547" s="2">
        <v>1</v>
      </c>
      <c r="M547" s="37">
        <f t="shared" si="141"/>
        <v>1</v>
      </c>
      <c r="N547" s="2" t="s">
        <v>248</v>
      </c>
      <c r="O547" s="32">
        <f>J547</f>
        <v>895</v>
      </c>
      <c r="P547" s="32"/>
      <c r="Q547" s="2"/>
      <c r="R547" s="2"/>
      <c r="S547" s="2"/>
      <c r="T547" s="2"/>
      <c r="U547" s="37">
        <f t="shared" si="132"/>
        <v>1</v>
      </c>
      <c r="V547" s="34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</row>
    <row r="548" spans="1:86">
      <c r="A548" s="35">
        <v>45881</v>
      </c>
      <c r="B548" s="1"/>
      <c r="C548" s="1"/>
      <c r="D548" s="1"/>
      <c r="E548" s="2" t="s">
        <v>245</v>
      </c>
      <c r="F548" s="2">
        <v>69</v>
      </c>
      <c r="G548" s="2" t="s">
        <v>333</v>
      </c>
      <c r="H548" s="2">
        <v>98</v>
      </c>
      <c r="I548" s="2">
        <v>918</v>
      </c>
      <c r="J548" s="12">
        <f t="shared" si="142"/>
        <v>918</v>
      </c>
      <c r="K548" s="5">
        <f t="shared" si="143"/>
        <v>13575.86512866016</v>
      </c>
      <c r="L548" s="2">
        <v>1</v>
      </c>
      <c r="M548" s="37">
        <f t="shared" si="141"/>
        <v>1</v>
      </c>
      <c r="N548" s="2" t="s">
        <v>248</v>
      </c>
      <c r="O548" s="32">
        <f>J548</f>
        <v>918</v>
      </c>
      <c r="P548" s="32"/>
      <c r="Q548" s="2"/>
      <c r="R548" s="2"/>
      <c r="S548" s="2"/>
      <c r="T548" s="2"/>
      <c r="U548" s="37">
        <f t="shared" si="132"/>
        <v>1</v>
      </c>
      <c r="V548" s="34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</row>
    <row r="549" spans="1:86">
      <c r="A549" s="35">
        <v>45881</v>
      </c>
      <c r="B549" s="1" t="s">
        <v>334</v>
      </c>
      <c r="C549" s="1" t="s">
        <v>334</v>
      </c>
      <c r="D549" s="1"/>
      <c r="E549" s="2" t="s">
        <v>245</v>
      </c>
      <c r="F549" s="2">
        <v>61</v>
      </c>
      <c r="G549" s="2" t="s">
        <v>333</v>
      </c>
      <c r="H549" s="2">
        <v>244</v>
      </c>
      <c r="I549" s="2">
        <v>1942</v>
      </c>
      <c r="J549" s="12">
        <f t="shared" si="142"/>
        <v>1942</v>
      </c>
      <c r="K549" s="5">
        <f t="shared" si="143"/>
        <v>13047.56785810266</v>
      </c>
      <c r="L549" s="2">
        <v>1</v>
      </c>
      <c r="M549" s="37">
        <f t="shared" si="141"/>
        <v>1</v>
      </c>
      <c r="N549" s="2"/>
      <c r="O549" s="32"/>
      <c r="P549" s="32"/>
      <c r="Q549" s="2"/>
      <c r="R549" s="2"/>
      <c r="S549" s="2"/>
      <c r="T549" s="2"/>
      <c r="U549" s="37">
        <f t="shared" si="132"/>
        <v>1</v>
      </c>
      <c r="V549" s="34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</row>
    <row r="550" spans="1:86">
      <c r="A550" s="35">
        <v>45881</v>
      </c>
      <c r="B550" s="1"/>
      <c r="C550" s="1"/>
      <c r="D550" s="1"/>
      <c r="E550" s="2" t="s">
        <v>245</v>
      </c>
      <c r="F550" s="2">
        <v>62</v>
      </c>
      <c r="G550" s="2" t="s">
        <v>333</v>
      </c>
      <c r="H550" s="2">
        <v>109</v>
      </c>
      <c r="I550" s="2">
        <v>1352</v>
      </c>
      <c r="J550" s="12">
        <f t="shared" si="142"/>
        <v>1352</v>
      </c>
      <c r="K550" s="5">
        <f t="shared" si="143"/>
        <v>20005.918910920391</v>
      </c>
      <c r="L550" s="2">
        <v>1</v>
      </c>
      <c r="M550" s="37">
        <f t="shared" si="141"/>
        <v>1</v>
      </c>
      <c r="N550" s="2"/>
      <c r="O550" s="32"/>
      <c r="P550" s="32"/>
      <c r="Q550" s="2"/>
      <c r="R550" s="2"/>
      <c r="S550" s="2"/>
      <c r="T550" s="2"/>
      <c r="U550" s="37">
        <f t="shared" si="132"/>
        <v>1</v>
      </c>
      <c r="V550" s="34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</row>
    <row r="551" spans="1:86">
      <c r="A551" s="35">
        <v>45881</v>
      </c>
      <c r="B551" s="1"/>
      <c r="C551" s="1"/>
      <c r="D551" s="1"/>
      <c r="E551" s="2" t="s">
        <v>245</v>
      </c>
      <c r="F551" s="2">
        <v>68</v>
      </c>
      <c r="G551" s="2" t="s">
        <v>333</v>
      </c>
      <c r="H551" s="2">
        <v>122</v>
      </c>
      <c r="I551" s="2">
        <v>1442</v>
      </c>
      <c r="J551" s="12">
        <f t="shared" si="142"/>
        <v>1442</v>
      </c>
      <c r="K551" s="5">
        <f t="shared" si="143"/>
        <v>17381.870781099326</v>
      </c>
      <c r="L551" s="2">
        <v>1</v>
      </c>
      <c r="M551" s="37">
        <f t="shared" si="141"/>
        <v>1</v>
      </c>
      <c r="N551" s="2"/>
      <c r="O551" s="32"/>
      <c r="P551" s="32"/>
      <c r="Q551" s="2"/>
      <c r="R551" s="2"/>
      <c r="S551" s="2"/>
      <c r="T551" s="2"/>
      <c r="U551" s="37">
        <f t="shared" si="132"/>
        <v>1</v>
      </c>
      <c r="V551" s="34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</row>
    <row r="552" spans="1:86">
      <c r="A552" s="35">
        <v>45881</v>
      </c>
      <c r="B552" s="1"/>
      <c r="C552" s="1"/>
      <c r="D552" s="1"/>
      <c r="E552" s="2" t="s">
        <v>245</v>
      </c>
      <c r="F552" s="2">
        <v>60</v>
      </c>
      <c r="G552" s="2" t="s">
        <v>333</v>
      </c>
      <c r="H552" s="2">
        <v>100</v>
      </c>
      <c r="I552" s="2">
        <v>1233</v>
      </c>
      <c r="J552" s="12">
        <f t="shared" si="142"/>
        <v>1233</v>
      </c>
      <c r="K552" s="5">
        <f t="shared" si="143"/>
        <v>20550</v>
      </c>
      <c r="L552" s="2">
        <v>1</v>
      </c>
      <c r="M552" s="37">
        <f t="shared" si="141"/>
        <v>1</v>
      </c>
      <c r="N552" s="2"/>
      <c r="O552" s="32"/>
      <c r="P552" s="32"/>
      <c r="Q552" s="2"/>
      <c r="R552" s="2"/>
      <c r="S552" s="2"/>
      <c r="T552" s="2"/>
      <c r="U552" s="37">
        <f t="shared" si="132"/>
        <v>1</v>
      </c>
      <c r="V552" s="34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</row>
    <row r="553" spans="1:86">
      <c r="A553" s="35">
        <v>45881</v>
      </c>
      <c r="B553" s="1"/>
      <c r="C553" s="1" t="s">
        <v>249</v>
      </c>
      <c r="D553" s="1"/>
      <c r="E553" s="2" t="s">
        <v>245</v>
      </c>
      <c r="F553" s="2">
        <v>55</v>
      </c>
      <c r="G553" s="2" t="s">
        <v>333</v>
      </c>
      <c r="H553" s="2">
        <v>103</v>
      </c>
      <c r="I553" s="2">
        <v>1345</v>
      </c>
      <c r="J553" s="12">
        <f t="shared" si="142"/>
        <v>1345</v>
      </c>
      <c r="K553" s="5">
        <f t="shared" si="143"/>
        <v>23742.277140335391</v>
      </c>
      <c r="L553" s="2">
        <v>1</v>
      </c>
      <c r="M553" s="37">
        <f t="shared" si="141"/>
        <v>1</v>
      </c>
      <c r="N553" s="2"/>
      <c r="O553" s="32"/>
      <c r="P553" s="32"/>
      <c r="Q553" s="2"/>
      <c r="R553" s="2"/>
      <c r="S553" s="2"/>
      <c r="T553" s="2"/>
      <c r="U553" s="37">
        <f t="shared" si="132"/>
        <v>1</v>
      </c>
      <c r="V553" s="34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</row>
    <row r="554" spans="1:86">
      <c r="A554" s="35">
        <v>45881</v>
      </c>
      <c r="B554" s="1"/>
      <c r="C554" s="1" t="s">
        <v>249</v>
      </c>
      <c r="D554" s="1"/>
      <c r="E554" s="2" t="s">
        <v>245</v>
      </c>
      <c r="F554" s="2">
        <v>50</v>
      </c>
      <c r="G554" s="2" t="s">
        <v>333</v>
      </c>
      <c r="H554" s="2">
        <v>106</v>
      </c>
      <c r="I554" s="2">
        <v>1366</v>
      </c>
      <c r="J554" s="12">
        <f t="shared" si="142"/>
        <v>1366</v>
      </c>
      <c r="K554" s="5">
        <f t="shared" si="143"/>
        <v>25773.584905660373</v>
      </c>
      <c r="L554" s="2">
        <v>1</v>
      </c>
      <c r="M554" s="37">
        <f t="shared" si="141"/>
        <v>1</v>
      </c>
      <c r="N554" s="2"/>
      <c r="O554" s="32"/>
      <c r="P554" s="32"/>
      <c r="Q554" s="2"/>
      <c r="R554" s="2"/>
      <c r="S554" s="2"/>
      <c r="T554" s="2"/>
      <c r="U554" s="37">
        <f t="shared" si="132"/>
        <v>1</v>
      </c>
      <c r="V554" s="34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</row>
    <row r="555" spans="1:86">
      <c r="A555" s="35">
        <v>45881</v>
      </c>
      <c r="B555" s="1"/>
      <c r="C555" s="1"/>
      <c r="D555" s="1"/>
      <c r="E555" s="2" t="s">
        <v>245</v>
      </c>
      <c r="F555" s="2">
        <v>54</v>
      </c>
      <c r="G555" s="2" t="s">
        <v>333</v>
      </c>
      <c r="H555" s="2">
        <v>216</v>
      </c>
      <c r="I555" s="2">
        <v>978</v>
      </c>
      <c r="J555" s="12">
        <f t="shared" si="142"/>
        <v>978</v>
      </c>
      <c r="K555" s="5">
        <f t="shared" si="143"/>
        <v>8384.773662551439</v>
      </c>
      <c r="L555" s="2">
        <v>1</v>
      </c>
      <c r="M555" s="37">
        <f t="shared" si="141"/>
        <v>1</v>
      </c>
      <c r="N555" s="2"/>
      <c r="O555" s="32"/>
      <c r="P555" s="32"/>
      <c r="Q555" s="2"/>
      <c r="R555" s="2"/>
      <c r="S555" s="2"/>
      <c r="T555" s="2"/>
      <c r="U555" s="37">
        <f t="shared" si="132"/>
        <v>1</v>
      </c>
      <c r="V555" s="34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</row>
    <row r="556" spans="1:86">
      <c r="A556" s="35">
        <v>45881</v>
      </c>
      <c r="B556" s="1"/>
      <c r="C556" s="1"/>
      <c r="D556" s="1"/>
      <c r="E556" s="2" t="s">
        <v>245</v>
      </c>
      <c r="F556" s="2">
        <v>50</v>
      </c>
      <c r="G556" s="2" t="s">
        <v>333</v>
      </c>
      <c r="H556" s="2">
        <v>120</v>
      </c>
      <c r="I556" s="2">
        <v>1441</v>
      </c>
      <c r="J556" s="12">
        <f t="shared" si="142"/>
        <v>1441</v>
      </c>
      <c r="K556" s="5">
        <f t="shared" si="143"/>
        <v>24016.666666666664</v>
      </c>
      <c r="L556" s="2">
        <v>1</v>
      </c>
      <c r="M556" s="37">
        <f t="shared" si="141"/>
        <v>1</v>
      </c>
      <c r="N556" s="2"/>
      <c r="O556" s="32"/>
      <c r="P556" s="32"/>
      <c r="Q556" s="2"/>
      <c r="R556" s="2"/>
      <c r="S556" s="2"/>
      <c r="T556" s="2"/>
      <c r="U556" s="37">
        <f t="shared" si="132"/>
        <v>1</v>
      </c>
      <c r="V556" s="34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</row>
    <row r="557" spans="1:86">
      <c r="A557" s="35">
        <v>45881</v>
      </c>
      <c r="B557" s="1"/>
      <c r="C557" s="1" t="s">
        <v>249</v>
      </c>
      <c r="D557" s="1"/>
      <c r="E557" s="2" t="s">
        <v>245</v>
      </c>
      <c r="F557" s="2">
        <v>53</v>
      </c>
      <c r="G557" s="2" t="s">
        <v>333</v>
      </c>
      <c r="H557" s="2">
        <v>105</v>
      </c>
      <c r="I557" s="2">
        <v>750</v>
      </c>
      <c r="J557" s="12">
        <f t="shared" si="142"/>
        <v>750</v>
      </c>
      <c r="K557" s="5">
        <f t="shared" si="143"/>
        <v>13477.088948787061</v>
      </c>
      <c r="L557" s="2">
        <v>1</v>
      </c>
      <c r="M557" s="37">
        <f t="shared" si="141"/>
        <v>1</v>
      </c>
      <c r="N557" s="2"/>
      <c r="O557" s="32"/>
      <c r="P557" s="32"/>
      <c r="Q557" s="2"/>
      <c r="R557" s="2"/>
      <c r="S557" s="2"/>
      <c r="T557" s="2"/>
      <c r="U557" s="37">
        <f t="shared" si="132"/>
        <v>1</v>
      </c>
      <c r="V557" s="34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</row>
    <row r="558" spans="1:86">
      <c r="A558" s="35">
        <v>45881</v>
      </c>
      <c r="B558" s="1"/>
      <c r="C558" s="1"/>
      <c r="D558" s="1"/>
      <c r="E558" s="2" t="s">
        <v>245</v>
      </c>
      <c r="F558" s="2">
        <v>70</v>
      </c>
      <c r="G558" s="2" t="s">
        <v>333</v>
      </c>
      <c r="H558" s="2">
        <v>108</v>
      </c>
      <c r="I558" s="2">
        <v>1211</v>
      </c>
      <c r="J558" s="12">
        <f t="shared" si="142"/>
        <v>1211</v>
      </c>
      <c r="K558" s="5">
        <f t="shared" si="143"/>
        <v>16018.518518518518</v>
      </c>
      <c r="L558" s="2">
        <v>1</v>
      </c>
      <c r="M558" s="37">
        <f t="shared" si="141"/>
        <v>1</v>
      </c>
      <c r="N558" s="2"/>
      <c r="O558" s="32"/>
      <c r="P558" s="32"/>
      <c r="Q558" s="2"/>
      <c r="R558" s="2"/>
      <c r="S558" s="2"/>
      <c r="T558" s="2"/>
      <c r="U558" s="37">
        <f t="shared" si="132"/>
        <v>1</v>
      </c>
      <c r="V558" s="34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</row>
    <row r="559" spans="1:86">
      <c r="A559" s="35">
        <v>45881</v>
      </c>
      <c r="B559" s="1"/>
      <c r="C559" s="1"/>
      <c r="D559" s="1"/>
      <c r="E559" s="2" t="s">
        <v>245</v>
      </c>
      <c r="F559" s="2">
        <v>63</v>
      </c>
      <c r="G559" s="2" t="s">
        <v>333</v>
      </c>
      <c r="H559" s="2">
        <v>114</v>
      </c>
      <c r="I559" s="2">
        <v>803</v>
      </c>
      <c r="J559" s="12">
        <f t="shared" si="142"/>
        <v>803</v>
      </c>
      <c r="K559" s="5">
        <f t="shared" si="143"/>
        <v>11180.729601782232</v>
      </c>
      <c r="L559" s="2">
        <v>1</v>
      </c>
      <c r="M559" s="37">
        <f t="shared" si="141"/>
        <v>1</v>
      </c>
      <c r="N559" s="2"/>
      <c r="O559" s="32"/>
      <c r="P559" s="32"/>
      <c r="Q559" s="2"/>
      <c r="R559" s="2"/>
      <c r="S559" s="2"/>
      <c r="T559" s="2"/>
      <c r="U559" s="37">
        <f t="shared" si="132"/>
        <v>1</v>
      </c>
      <c r="V559" s="34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</row>
    <row r="560" spans="1:86">
      <c r="A560" s="35">
        <v>45881</v>
      </c>
      <c r="B560" s="1"/>
      <c r="C560" s="1"/>
      <c r="D560" s="1"/>
      <c r="E560" s="2" t="s">
        <v>245</v>
      </c>
      <c r="F560" s="2">
        <v>62</v>
      </c>
      <c r="G560" s="2" t="s">
        <v>333</v>
      </c>
      <c r="H560" s="2">
        <v>112</v>
      </c>
      <c r="I560" s="2">
        <v>801</v>
      </c>
      <c r="J560" s="12">
        <f t="shared" si="142"/>
        <v>801</v>
      </c>
      <c r="K560" s="5">
        <f t="shared" si="143"/>
        <v>11535.138248847927</v>
      </c>
      <c r="L560" s="2">
        <v>1</v>
      </c>
      <c r="M560" s="37">
        <f t="shared" si="141"/>
        <v>1</v>
      </c>
      <c r="N560" s="2"/>
      <c r="O560" s="32"/>
      <c r="P560" s="32"/>
      <c r="Q560" s="2"/>
      <c r="R560" s="2"/>
      <c r="S560" s="2"/>
      <c r="T560" s="2"/>
      <c r="U560" s="37">
        <f t="shared" si="132"/>
        <v>1</v>
      </c>
      <c r="V560" s="34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</row>
    <row r="561" spans="1:86">
      <c r="A561" s="35">
        <v>45881</v>
      </c>
      <c r="B561" s="1"/>
      <c r="C561" s="1"/>
      <c r="D561" s="1"/>
      <c r="E561" s="2" t="s">
        <v>245</v>
      </c>
      <c r="F561" s="2">
        <v>73</v>
      </c>
      <c r="G561" s="2" t="s">
        <v>333</v>
      </c>
      <c r="H561" s="2">
        <v>103</v>
      </c>
      <c r="I561" s="2">
        <v>1216</v>
      </c>
      <c r="J561" s="12">
        <f t="shared" si="142"/>
        <v>1216</v>
      </c>
      <c r="K561" s="5">
        <f t="shared" si="143"/>
        <v>16172.363346189652</v>
      </c>
      <c r="L561" s="2">
        <v>1</v>
      </c>
      <c r="M561" s="37">
        <f t="shared" si="141"/>
        <v>1</v>
      </c>
      <c r="N561" s="2" t="s">
        <v>248</v>
      </c>
      <c r="O561" s="32">
        <f>J561</f>
        <v>1216</v>
      </c>
      <c r="P561" s="32"/>
      <c r="Q561" s="2"/>
      <c r="R561" s="2"/>
      <c r="S561" s="2"/>
      <c r="T561" s="2"/>
      <c r="U561" s="37">
        <f t="shared" si="132"/>
        <v>1</v>
      </c>
      <c r="V561" s="34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</row>
    <row r="562" spans="1:86">
      <c r="A562" s="35">
        <v>45881</v>
      </c>
      <c r="B562" s="1"/>
      <c r="C562" s="1"/>
      <c r="D562" s="1"/>
      <c r="E562" s="2" t="s">
        <v>245</v>
      </c>
      <c r="F562" s="2">
        <v>69</v>
      </c>
      <c r="G562" s="2" t="s">
        <v>333</v>
      </c>
      <c r="H562" s="2">
        <v>104.5</v>
      </c>
      <c r="I562" s="2">
        <v>971</v>
      </c>
      <c r="J562" s="12">
        <f t="shared" si="142"/>
        <v>971</v>
      </c>
      <c r="K562" s="5">
        <f t="shared" si="143"/>
        <v>13466.472505374108</v>
      </c>
      <c r="L562" s="2">
        <v>1</v>
      </c>
      <c r="M562" s="37">
        <f t="shared" si="141"/>
        <v>1</v>
      </c>
      <c r="N562" s="2"/>
      <c r="O562" s="32"/>
      <c r="P562" s="32"/>
      <c r="Q562" s="2"/>
      <c r="R562" s="2"/>
      <c r="S562" s="2"/>
      <c r="T562" s="2"/>
      <c r="U562" s="37">
        <f t="shared" si="132"/>
        <v>1</v>
      </c>
      <c r="V562" s="34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</row>
    <row r="563" spans="1:86">
      <c r="A563" s="35">
        <v>45881</v>
      </c>
      <c r="B563" s="1"/>
      <c r="C563" s="1"/>
      <c r="D563" s="1"/>
      <c r="E563" s="2" t="s">
        <v>245</v>
      </c>
      <c r="F563" s="2">
        <v>64</v>
      </c>
      <c r="G563" s="2" t="s">
        <v>333</v>
      </c>
      <c r="H563" s="2">
        <v>128</v>
      </c>
      <c r="I563" s="2">
        <v>1196</v>
      </c>
      <c r="J563" s="12">
        <f t="shared" si="142"/>
        <v>1196</v>
      </c>
      <c r="K563" s="5">
        <f t="shared" si="143"/>
        <v>14599.609374999998</v>
      </c>
      <c r="L563" s="2">
        <v>1</v>
      </c>
      <c r="M563" s="37">
        <f t="shared" si="141"/>
        <v>1</v>
      </c>
      <c r="N563" s="2"/>
      <c r="O563" s="32"/>
      <c r="P563" s="32"/>
      <c r="Q563" s="2"/>
      <c r="R563" s="2"/>
      <c r="S563" s="2"/>
      <c r="T563" s="2"/>
      <c r="U563" s="37">
        <f t="shared" si="132"/>
        <v>1</v>
      </c>
      <c r="V563" s="34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</row>
    <row r="564" spans="1:86">
      <c r="A564" s="35">
        <v>45881</v>
      </c>
      <c r="B564" s="1"/>
      <c r="C564" s="1"/>
      <c r="D564" s="1"/>
      <c r="E564" s="2" t="s">
        <v>245</v>
      </c>
      <c r="F564" s="2">
        <v>70</v>
      </c>
      <c r="G564" s="2" t="s">
        <v>333</v>
      </c>
      <c r="H564" s="2">
        <v>109.5</v>
      </c>
      <c r="I564" s="2">
        <v>555</v>
      </c>
      <c r="J564" s="12">
        <f t="shared" si="142"/>
        <v>555</v>
      </c>
      <c r="K564" s="5">
        <f t="shared" si="143"/>
        <v>7240.7045009784724</v>
      </c>
      <c r="L564" s="2">
        <v>1</v>
      </c>
      <c r="M564" s="37">
        <f t="shared" si="141"/>
        <v>1</v>
      </c>
      <c r="N564" s="2"/>
      <c r="O564" s="32"/>
      <c r="P564" s="32"/>
      <c r="Q564" s="2"/>
      <c r="R564" s="2"/>
      <c r="S564" s="2"/>
      <c r="T564" s="2"/>
      <c r="U564" s="37">
        <f t="shared" si="132"/>
        <v>1</v>
      </c>
      <c r="V564" s="34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</row>
    <row r="565" spans="1:86">
      <c r="A565" s="35">
        <v>45881</v>
      </c>
      <c r="B565" s="1"/>
      <c r="C565" s="1"/>
      <c r="D565" s="1"/>
      <c r="E565" s="2" t="s">
        <v>245</v>
      </c>
      <c r="F565" s="2">
        <v>59</v>
      </c>
      <c r="G565" s="2" t="s">
        <v>333</v>
      </c>
      <c r="H565" s="2">
        <v>99.5</v>
      </c>
      <c r="I565" s="2">
        <v>504</v>
      </c>
      <c r="J565" s="12">
        <f t="shared" si="142"/>
        <v>504</v>
      </c>
      <c r="K565" s="5">
        <f t="shared" si="143"/>
        <v>8585.2993782471676</v>
      </c>
      <c r="L565" s="2">
        <v>1</v>
      </c>
      <c r="M565" s="37">
        <f t="shared" si="141"/>
        <v>1</v>
      </c>
      <c r="N565" s="2"/>
      <c r="O565" s="32"/>
      <c r="P565" s="32"/>
      <c r="Q565" s="2"/>
      <c r="R565" s="2"/>
      <c r="S565" s="2"/>
      <c r="T565" s="2"/>
      <c r="U565" s="37">
        <f t="shared" si="132"/>
        <v>1</v>
      </c>
      <c r="V565" s="34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</row>
    <row r="566" spans="1:86">
      <c r="A566" s="35">
        <v>45881</v>
      </c>
      <c r="B566" s="1"/>
      <c r="C566" s="1"/>
      <c r="D566" s="1"/>
      <c r="E566" s="2" t="s">
        <v>245</v>
      </c>
      <c r="F566" s="2">
        <v>67</v>
      </c>
      <c r="G566" s="2" t="s">
        <v>333</v>
      </c>
      <c r="H566" s="2">
        <v>106</v>
      </c>
      <c r="I566" s="2">
        <v>437</v>
      </c>
      <c r="J566" s="12">
        <f t="shared" si="142"/>
        <v>437</v>
      </c>
      <c r="K566" s="5">
        <f t="shared" si="143"/>
        <v>6153.1962827372572</v>
      </c>
      <c r="L566" s="2">
        <v>1</v>
      </c>
      <c r="M566" s="37">
        <f t="shared" si="141"/>
        <v>1</v>
      </c>
      <c r="N566" s="2"/>
      <c r="O566" s="32"/>
      <c r="P566" s="32"/>
      <c r="Q566" s="2"/>
      <c r="R566" s="2"/>
      <c r="S566" s="2"/>
      <c r="T566" s="2"/>
      <c r="U566" s="37">
        <f t="shared" si="132"/>
        <v>1</v>
      </c>
      <c r="V566" s="34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</row>
    <row r="567" spans="1:86">
      <c r="A567" s="35">
        <v>45881</v>
      </c>
      <c r="B567" s="1"/>
      <c r="C567" s="1"/>
      <c r="D567" s="1"/>
      <c r="E567" s="2" t="s">
        <v>245</v>
      </c>
      <c r="F567" s="2">
        <v>69</v>
      </c>
      <c r="G567" s="2" t="s">
        <v>333</v>
      </c>
      <c r="H567" s="2">
        <v>101</v>
      </c>
      <c r="I567" s="2">
        <v>421</v>
      </c>
      <c r="J567" s="12">
        <f t="shared" si="142"/>
        <v>421</v>
      </c>
      <c r="K567" s="5">
        <f t="shared" si="143"/>
        <v>6041.0388864973456</v>
      </c>
      <c r="L567" s="2">
        <v>1</v>
      </c>
      <c r="M567" s="37">
        <f t="shared" si="141"/>
        <v>1</v>
      </c>
      <c r="N567" s="2" t="s">
        <v>248</v>
      </c>
      <c r="O567" s="32">
        <f>J567</f>
        <v>421</v>
      </c>
      <c r="P567" s="32"/>
      <c r="Q567" s="2"/>
      <c r="R567" s="2"/>
      <c r="S567" s="2"/>
      <c r="T567" s="2"/>
      <c r="U567" s="37">
        <f t="shared" si="132"/>
        <v>1</v>
      </c>
      <c r="V567" s="34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</row>
    <row r="568" spans="1:86">
      <c r="A568" s="35">
        <v>45881</v>
      </c>
      <c r="B568" s="1"/>
      <c r="C568" s="1"/>
      <c r="D568" s="1"/>
      <c r="E568" s="2" t="s">
        <v>245</v>
      </c>
      <c r="F568" s="2">
        <v>69</v>
      </c>
      <c r="G568" s="2" t="s">
        <v>333</v>
      </c>
      <c r="H568" s="2">
        <v>106</v>
      </c>
      <c r="I568" s="2">
        <v>595</v>
      </c>
      <c r="J568" s="12">
        <f t="shared" si="142"/>
        <v>595</v>
      </c>
      <c r="K568" s="5">
        <f t="shared" si="143"/>
        <v>8135.0834016953777</v>
      </c>
      <c r="L568" s="2">
        <v>1</v>
      </c>
      <c r="M568" s="37">
        <f t="shared" si="141"/>
        <v>1</v>
      </c>
      <c r="N568" s="2"/>
      <c r="O568" s="32"/>
      <c r="P568" s="32"/>
      <c r="Q568" s="2"/>
      <c r="R568" s="2"/>
      <c r="S568" s="2"/>
      <c r="T568" s="2"/>
      <c r="U568" s="37">
        <f t="shared" si="132"/>
        <v>1</v>
      </c>
      <c r="V568" s="34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</row>
    <row r="569" spans="1:86">
      <c r="A569" s="35">
        <v>45881</v>
      </c>
      <c r="B569" s="1"/>
      <c r="C569" s="1"/>
      <c r="D569" s="1"/>
      <c r="E569" s="2" t="s">
        <v>245</v>
      </c>
      <c r="F569" s="2">
        <v>73</v>
      </c>
      <c r="G569" s="2" t="s">
        <v>333</v>
      </c>
      <c r="H569" s="2">
        <v>99</v>
      </c>
      <c r="I569" s="2">
        <v>1115</v>
      </c>
      <c r="J569" s="12">
        <f t="shared" si="142"/>
        <v>1115</v>
      </c>
      <c r="K569" s="5">
        <f t="shared" si="143"/>
        <v>15428.255154282551</v>
      </c>
      <c r="L569" s="2">
        <v>1</v>
      </c>
      <c r="M569" s="37">
        <f t="shared" si="141"/>
        <v>1</v>
      </c>
      <c r="N569" s="2" t="s">
        <v>248</v>
      </c>
      <c r="O569" s="32">
        <f>J569</f>
        <v>1115</v>
      </c>
      <c r="P569" s="32"/>
      <c r="Q569" s="2"/>
      <c r="R569" s="2"/>
      <c r="S569" s="2"/>
      <c r="T569" s="2"/>
      <c r="U569" s="37">
        <f t="shared" si="132"/>
        <v>1</v>
      </c>
      <c r="V569" s="34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</row>
    <row r="570" spans="1:86">
      <c r="A570" s="35">
        <v>45881</v>
      </c>
      <c r="B570" s="1"/>
      <c r="C570" s="1"/>
      <c r="D570" s="1"/>
      <c r="E570" s="2" t="s">
        <v>245</v>
      </c>
      <c r="F570" s="2">
        <v>67</v>
      </c>
      <c r="G570" s="2" t="s">
        <v>333</v>
      </c>
      <c r="H570" s="2">
        <v>100</v>
      </c>
      <c r="I570" s="2">
        <v>943</v>
      </c>
      <c r="J570" s="12">
        <f t="shared" si="142"/>
        <v>943</v>
      </c>
      <c r="K570" s="5">
        <f t="shared" si="143"/>
        <v>14074.62686567164</v>
      </c>
      <c r="L570" s="2">
        <v>1</v>
      </c>
      <c r="M570" s="37">
        <f t="shared" si="141"/>
        <v>1</v>
      </c>
      <c r="N570" s="2"/>
      <c r="O570" s="32"/>
      <c r="P570" s="32"/>
      <c r="Q570" s="2"/>
      <c r="R570" s="2"/>
      <c r="S570" s="2"/>
      <c r="T570" s="2"/>
      <c r="U570" s="37">
        <f t="shared" si="132"/>
        <v>1</v>
      </c>
      <c r="V570" s="34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</row>
    <row r="571" spans="1:86">
      <c r="A571" s="35">
        <v>45881</v>
      </c>
      <c r="B571" s="1"/>
      <c r="C571" s="1"/>
      <c r="D571" s="1"/>
      <c r="E571" s="2" t="s">
        <v>245</v>
      </c>
      <c r="F571" s="2">
        <v>67</v>
      </c>
      <c r="G571" s="2" t="s">
        <v>333</v>
      </c>
      <c r="H571" s="2">
        <v>110</v>
      </c>
      <c r="I571" s="2">
        <v>1041</v>
      </c>
      <c r="J571" s="12">
        <f t="shared" si="142"/>
        <v>1041</v>
      </c>
      <c r="K571" s="5">
        <f t="shared" si="143"/>
        <v>14124.830393487109</v>
      </c>
      <c r="L571" s="2">
        <v>1</v>
      </c>
      <c r="M571" s="37">
        <f t="shared" si="141"/>
        <v>1</v>
      </c>
      <c r="N571" s="2"/>
      <c r="O571" s="32"/>
      <c r="P571" s="32"/>
      <c r="Q571" s="2"/>
      <c r="R571" s="2"/>
      <c r="S571" s="2"/>
      <c r="T571" s="2"/>
      <c r="U571" s="37">
        <f t="shared" si="132"/>
        <v>1</v>
      </c>
      <c r="V571" s="34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</row>
    <row r="572" spans="1:86">
      <c r="A572" s="35">
        <v>45881</v>
      </c>
      <c r="B572" s="1"/>
      <c r="C572" s="1"/>
      <c r="D572" s="1"/>
      <c r="E572" s="2" t="s">
        <v>245</v>
      </c>
      <c r="F572" s="2">
        <v>71</v>
      </c>
      <c r="G572" s="2" t="s">
        <v>333</v>
      </c>
      <c r="H572" s="2">
        <v>99.5</v>
      </c>
      <c r="I572" s="2">
        <v>1117</v>
      </c>
      <c r="J572" s="12">
        <f t="shared" si="142"/>
        <v>1117</v>
      </c>
      <c r="K572" s="5">
        <f t="shared" si="143"/>
        <v>15811.451624318777</v>
      </c>
      <c r="L572" s="2">
        <v>1</v>
      </c>
      <c r="M572" s="37">
        <f t="shared" si="141"/>
        <v>1</v>
      </c>
      <c r="N572" s="2" t="s">
        <v>248</v>
      </c>
      <c r="O572" s="32">
        <f>J572</f>
        <v>1117</v>
      </c>
      <c r="P572" s="32"/>
      <c r="Q572" s="2"/>
      <c r="R572" s="2"/>
      <c r="S572" s="2"/>
      <c r="T572" s="2"/>
      <c r="U572" s="37">
        <f t="shared" si="132"/>
        <v>1</v>
      </c>
      <c r="V572" s="34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</row>
    <row r="573" spans="1:86">
      <c r="A573" s="35">
        <v>45881</v>
      </c>
      <c r="B573" s="1"/>
      <c r="C573" s="1"/>
      <c r="D573" s="1"/>
      <c r="E573" s="2" t="s">
        <v>245</v>
      </c>
      <c r="F573" s="2">
        <v>68</v>
      </c>
      <c r="G573" s="2" t="s">
        <v>333</v>
      </c>
      <c r="H573" s="2">
        <v>104</v>
      </c>
      <c r="I573" s="2">
        <v>1224</v>
      </c>
      <c r="J573" s="12">
        <f t="shared" si="142"/>
        <v>1224</v>
      </c>
      <c r="K573" s="5">
        <f t="shared" si="143"/>
        <v>17307.692307692305</v>
      </c>
      <c r="L573" s="2">
        <v>1</v>
      </c>
      <c r="M573" s="37">
        <f t="shared" si="141"/>
        <v>1</v>
      </c>
      <c r="N573" s="2" t="s">
        <v>248</v>
      </c>
      <c r="O573" s="32">
        <f>J573</f>
        <v>1224</v>
      </c>
      <c r="P573" s="32"/>
      <c r="Q573" s="2"/>
      <c r="R573" s="2"/>
      <c r="S573" s="2"/>
      <c r="T573" s="2"/>
      <c r="U573" s="37">
        <f t="shared" si="132"/>
        <v>1</v>
      </c>
      <c r="V573" s="34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</row>
    <row r="574" spans="1:86">
      <c r="A574" s="35">
        <v>45881</v>
      </c>
      <c r="B574" s="1"/>
      <c r="C574" s="1"/>
      <c r="D574" s="1"/>
      <c r="E574" s="2" t="s">
        <v>245</v>
      </c>
      <c r="F574" s="2">
        <v>67</v>
      </c>
      <c r="G574" s="2" t="s">
        <v>333</v>
      </c>
      <c r="H574" s="2">
        <v>105</v>
      </c>
      <c r="I574" s="2">
        <v>1119</v>
      </c>
      <c r="J574" s="12">
        <f t="shared" si="142"/>
        <v>1119</v>
      </c>
      <c r="K574" s="5">
        <f t="shared" si="143"/>
        <v>15906.183368869933</v>
      </c>
      <c r="L574" s="2">
        <v>1</v>
      </c>
      <c r="M574" s="37">
        <f t="shared" si="141"/>
        <v>1</v>
      </c>
      <c r="N574" s="2"/>
      <c r="O574" s="32"/>
      <c r="P574" s="32"/>
      <c r="Q574" s="2"/>
      <c r="R574" s="2"/>
      <c r="S574" s="2"/>
      <c r="T574" s="2"/>
      <c r="U574" s="37">
        <f t="shared" si="132"/>
        <v>1</v>
      </c>
      <c r="V574" s="34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</row>
    <row r="575" spans="1:86">
      <c r="A575" s="35">
        <v>45881</v>
      </c>
      <c r="B575" s="1"/>
      <c r="C575" s="1"/>
      <c r="D575" s="1"/>
      <c r="E575" s="2" t="s">
        <v>245</v>
      </c>
      <c r="F575" s="2">
        <v>70</v>
      </c>
      <c r="G575" s="2" t="s">
        <v>333</v>
      </c>
      <c r="H575" s="2">
        <v>102</v>
      </c>
      <c r="I575" s="2">
        <v>1323</v>
      </c>
      <c r="J575" s="12">
        <f t="shared" si="142"/>
        <v>1323</v>
      </c>
      <c r="K575" s="5">
        <f t="shared" si="143"/>
        <v>18529.411764705881</v>
      </c>
      <c r="L575" s="2">
        <v>1</v>
      </c>
      <c r="M575" s="37">
        <f t="shared" si="141"/>
        <v>1</v>
      </c>
      <c r="N575" s="2" t="s">
        <v>248</v>
      </c>
      <c r="O575" s="32">
        <f>J575</f>
        <v>1323</v>
      </c>
      <c r="P575" s="32"/>
      <c r="Q575" s="2"/>
      <c r="R575" s="2"/>
      <c r="S575" s="2"/>
      <c r="T575" s="2"/>
      <c r="U575" s="37">
        <f t="shared" si="132"/>
        <v>1</v>
      </c>
      <c r="V575" s="34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</row>
    <row r="576" spans="1:86">
      <c r="A576" s="35">
        <v>45881</v>
      </c>
      <c r="B576" s="1"/>
      <c r="C576" s="1"/>
      <c r="D576" s="1"/>
      <c r="E576" s="2" t="s">
        <v>245</v>
      </c>
      <c r="F576" s="2">
        <v>70</v>
      </c>
      <c r="G576" s="2" t="s">
        <v>333</v>
      </c>
      <c r="H576" s="2">
        <v>105</v>
      </c>
      <c r="I576" s="2">
        <v>1362</v>
      </c>
      <c r="J576" s="12">
        <f t="shared" si="142"/>
        <v>1362</v>
      </c>
      <c r="K576" s="5">
        <f t="shared" si="143"/>
        <v>18530.612244897955</v>
      </c>
      <c r="L576" s="2">
        <v>1</v>
      </c>
      <c r="M576" s="37">
        <f t="shared" si="141"/>
        <v>1</v>
      </c>
      <c r="N576" s="2"/>
      <c r="O576" s="32"/>
      <c r="P576" s="32"/>
      <c r="Q576" s="2"/>
      <c r="R576" s="2"/>
      <c r="S576" s="2"/>
      <c r="T576" s="2"/>
      <c r="U576" s="37">
        <f t="shared" si="132"/>
        <v>1</v>
      </c>
      <c r="V576" s="34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</row>
    <row r="577" spans="1:86">
      <c r="A577" s="35">
        <v>45881</v>
      </c>
      <c r="B577" s="1"/>
      <c r="C577" s="1"/>
      <c r="D577" s="1"/>
      <c r="E577" s="2" t="s">
        <v>245</v>
      </c>
      <c r="F577" s="2">
        <v>70</v>
      </c>
      <c r="G577" s="2" t="s">
        <v>333</v>
      </c>
      <c r="H577" s="2">
        <v>103</v>
      </c>
      <c r="I577" s="2">
        <v>1219</v>
      </c>
      <c r="J577" s="12">
        <f t="shared" si="142"/>
        <v>1219</v>
      </c>
      <c r="K577" s="5">
        <f t="shared" si="143"/>
        <v>16907.073509015256</v>
      </c>
      <c r="L577" s="2">
        <v>1</v>
      </c>
      <c r="M577" s="37">
        <f t="shared" si="141"/>
        <v>1</v>
      </c>
      <c r="N577" s="2" t="s">
        <v>248</v>
      </c>
      <c r="O577" s="32">
        <f>J577</f>
        <v>1219</v>
      </c>
      <c r="P577" s="32"/>
      <c r="Q577" s="2"/>
      <c r="R577" s="2"/>
      <c r="S577" s="2"/>
      <c r="T577" s="2"/>
      <c r="U577" s="37">
        <f t="shared" si="132"/>
        <v>1</v>
      </c>
      <c r="V577" s="34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</row>
    <row r="578" spans="1:86">
      <c r="A578" s="35">
        <v>45881</v>
      </c>
      <c r="B578" s="1"/>
      <c r="C578" s="1"/>
      <c r="D578" s="1"/>
      <c r="E578" s="2" t="s">
        <v>245</v>
      </c>
      <c r="F578" s="2">
        <v>69</v>
      </c>
      <c r="G578" s="2" t="s">
        <v>333</v>
      </c>
      <c r="H578" s="2">
        <v>104</v>
      </c>
      <c r="I578" s="2">
        <v>1232</v>
      </c>
      <c r="J578" s="12">
        <f t="shared" si="142"/>
        <v>1232</v>
      </c>
      <c r="K578" s="5">
        <f t="shared" si="143"/>
        <v>17168.33890746934</v>
      </c>
      <c r="L578" s="2">
        <v>1</v>
      </c>
      <c r="M578" s="37">
        <f t="shared" si="141"/>
        <v>1</v>
      </c>
      <c r="N578" s="2" t="s">
        <v>248</v>
      </c>
      <c r="O578" s="32">
        <f>J578</f>
        <v>1232</v>
      </c>
      <c r="P578" s="32"/>
      <c r="Q578" s="2"/>
      <c r="R578" s="2"/>
      <c r="S578" s="2"/>
      <c r="T578" s="2"/>
      <c r="U578" s="37">
        <f t="shared" si="132"/>
        <v>1</v>
      </c>
      <c r="V578" s="34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</row>
    <row r="579" spans="1:86">
      <c r="A579" s="35">
        <v>45881</v>
      </c>
      <c r="B579" s="1"/>
      <c r="C579" s="1"/>
      <c r="D579" s="1"/>
      <c r="E579" s="2" t="s">
        <v>245</v>
      </c>
      <c r="F579" s="2">
        <v>63</v>
      </c>
      <c r="G579" s="2" t="s">
        <v>333</v>
      </c>
      <c r="H579" s="2">
        <v>104</v>
      </c>
      <c r="I579" s="2">
        <v>1148</v>
      </c>
      <c r="J579" s="12">
        <f t="shared" si="142"/>
        <v>1148</v>
      </c>
      <c r="K579" s="5">
        <f t="shared" si="143"/>
        <v>17521.36752136752</v>
      </c>
      <c r="L579" s="2">
        <v>1</v>
      </c>
      <c r="M579" s="37">
        <f t="shared" si="141"/>
        <v>1</v>
      </c>
      <c r="N579" s="2"/>
      <c r="O579" s="32"/>
      <c r="P579" s="32"/>
      <c r="Q579" s="2"/>
      <c r="R579" s="2"/>
      <c r="S579" s="2"/>
      <c r="T579" s="2"/>
      <c r="U579" s="37">
        <f t="shared" si="132"/>
        <v>1</v>
      </c>
      <c r="V579" s="34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</row>
    <row r="580" spans="1:86">
      <c r="A580" s="35">
        <v>45881</v>
      </c>
      <c r="B580" s="1"/>
      <c r="C580" s="1"/>
      <c r="D580" s="1"/>
      <c r="E580" s="2" t="s">
        <v>245</v>
      </c>
      <c r="F580" s="2">
        <v>60</v>
      </c>
      <c r="G580" s="2" t="s">
        <v>333</v>
      </c>
      <c r="H580" s="2">
        <v>105</v>
      </c>
      <c r="I580" s="2">
        <v>1129</v>
      </c>
      <c r="J580" s="12">
        <f t="shared" si="142"/>
        <v>1129</v>
      </c>
      <c r="K580" s="5">
        <f t="shared" si="143"/>
        <v>17920.634920634922</v>
      </c>
      <c r="L580" s="2">
        <v>1</v>
      </c>
      <c r="M580" s="37">
        <f t="shared" si="141"/>
        <v>1</v>
      </c>
      <c r="N580" s="2"/>
      <c r="O580" s="32"/>
      <c r="P580" s="32"/>
      <c r="Q580" s="2"/>
      <c r="R580" s="2"/>
      <c r="S580" s="2"/>
      <c r="T580" s="2"/>
      <c r="U580" s="37">
        <f t="shared" si="132"/>
        <v>1</v>
      </c>
      <c r="V580" s="34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</row>
    <row r="581" spans="1:86">
      <c r="A581" s="35">
        <v>45881</v>
      </c>
      <c r="B581" s="1"/>
      <c r="C581" s="1"/>
      <c r="D581" s="1"/>
      <c r="E581" s="2" t="s">
        <v>245</v>
      </c>
      <c r="F581" s="2">
        <v>72</v>
      </c>
      <c r="G581" s="2" t="s">
        <v>333</v>
      </c>
      <c r="H581" s="2">
        <v>105</v>
      </c>
      <c r="I581" s="2">
        <v>1255</v>
      </c>
      <c r="J581" s="12">
        <f t="shared" si="142"/>
        <v>1255</v>
      </c>
      <c r="K581" s="5">
        <f t="shared" si="143"/>
        <v>16600.5291005291</v>
      </c>
      <c r="L581" s="2">
        <v>1</v>
      </c>
      <c r="M581" s="37">
        <f t="shared" si="141"/>
        <v>1</v>
      </c>
      <c r="N581" s="2"/>
      <c r="O581" s="32"/>
      <c r="P581" s="32"/>
      <c r="Q581" s="2"/>
      <c r="R581" s="2"/>
      <c r="S581" s="2"/>
      <c r="T581" s="2"/>
      <c r="U581" s="37">
        <f t="shared" si="132"/>
        <v>1</v>
      </c>
      <c r="V581" s="34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</row>
    <row r="582" spans="1:86">
      <c r="A582" s="35">
        <v>45881</v>
      </c>
      <c r="B582" s="1"/>
      <c r="C582" s="1"/>
      <c r="D582" s="1"/>
      <c r="E582" s="2" t="s">
        <v>245</v>
      </c>
      <c r="F582" s="2">
        <v>67</v>
      </c>
      <c r="G582" s="2" t="s">
        <v>333</v>
      </c>
      <c r="H582" s="2">
        <v>103</v>
      </c>
      <c r="I582" s="2">
        <v>1100</v>
      </c>
      <c r="J582" s="12">
        <f t="shared" si="142"/>
        <v>1100</v>
      </c>
      <c r="K582" s="5">
        <f t="shared" si="143"/>
        <v>15939.718881321547</v>
      </c>
      <c r="L582" s="2">
        <v>1</v>
      </c>
      <c r="M582" s="37">
        <f t="shared" si="141"/>
        <v>1</v>
      </c>
      <c r="N582" s="2"/>
      <c r="O582" s="32"/>
      <c r="P582" s="32"/>
      <c r="Q582" s="2"/>
      <c r="R582" s="2"/>
      <c r="S582" s="2"/>
      <c r="T582" s="2"/>
      <c r="U582" s="37">
        <f t="shared" si="132"/>
        <v>1</v>
      </c>
      <c r="V582" s="34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</row>
    <row r="583" spans="1:86">
      <c r="A583" s="35">
        <v>45881</v>
      </c>
      <c r="B583" s="1"/>
      <c r="C583" s="1" t="s">
        <v>249</v>
      </c>
      <c r="D583" s="1"/>
      <c r="E583" s="2" t="s">
        <v>245</v>
      </c>
      <c r="F583" s="2">
        <v>50</v>
      </c>
      <c r="G583" s="2" t="s">
        <v>333</v>
      </c>
      <c r="H583" s="2">
        <v>103</v>
      </c>
      <c r="I583" s="2">
        <v>999</v>
      </c>
      <c r="J583" s="12">
        <f t="shared" si="142"/>
        <v>999</v>
      </c>
      <c r="K583" s="5">
        <f t="shared" si="143"/>
        <v>19398.058252427181</v>
      </c>
      <c r="L583" s="2">
        <v>1</v>
      </c>
      <c r="M583" s="37">
        <f t="shared" si="141"/>
        <v>1</v>
      </c>
      <c r="N583" s="2"/>
      <c r="O583" s="32"/>
      <c r="P583" s="32"/>
      <c r="Q583" s="2"/>
      <c r="R583" s="2"/>
      <c r="S583" s="2"/>
      <c r="T583" s="2"/>
      <c r="U583" s="37">
        <f t="shared" si="132"/>
        <v>1</v>
      </c>
      <c r="V583" s="34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</row>
    <row r="584" spans="1:86">
      <c r="A584" s="35">
        <v>45881</v>
      </c>
      <c r="B584" s="1"/>
      <c r="C584" s="1"/>
      <c r="D584" s="1"/>
      <c r="E584" s="2" t="s">
        <v>245</v>
      </c>
      <c r="F584" s="2">
        <v>62</v>
      </c>
      <c r="G584" s="2" t="s">
        <v>333</v>
      </c>
      <c r="H584" s="2">
        <v>123</v>
      </c>
      <c r="I584" s="2">
        <v>929</v>
      </c>
      <c r="J584" s="12">
        <f t="shared" si="142"/>
        <v>929</v>
      </c>
      <c r="K584" s="5">
        <f t="shared" si="143"/>
        <v>12182.00891686336</v>
      </c>
      <c r="L584" s="2">
        <v>1</v>
      </c>
      <c r="M584" s="37">
        <f t="shared" si="141"/>
        <v>1</v>
      </c>
      <c r="N584" s="2"/>
      <c r="O584" s="32"/>
      <c r="P584" s="32"/>
      <c r="Q584" s="2"/>
      <c r="R584" s="2"/>
      <c r="S584" s="2"/>
      <c r="T584" s="2"/>
      <c r="U584" s="37">
        <f t="shared" si="132"/>
        <v>1</v>
      </c>
      <c r="V584" s="34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</row>
    <row r="585" spans="1:86">
      <c r="A585" s="35">
        <v>45881</v>
      </c>
      <c r="B585" s="1"/>
      <c r="C585" s="1"/>
      <c r="D585" s="1"/>
      <c r="E585" s="2" t="s">
        <v>245</v>
      </c>
      <c r="F585" s="2">
        <v>66</v>
      </c>
      <c r="G585" s="2" t="s">
        <v>333</v>
      </c>
      <c r="H585" s="2">
        <v>116.5</v>
      </c>
      <c r="I585" s="2">
        <v>897</v>
      </c>
      <c r="J585" s="12">
        <f t="shared" si="142"/>
        <v>897</v>
      </c>
      <c r="K585" s="5">
        <f t="shared" si="143"/>
        <v>11666.016387046429</v>
      </c>
      <c r="L585" s="2">
        <v>1</v>
      </c>
      <c r="M585" s="37">
        <f t="shared" si="141"/>
        <v>1</v>
      </c>
      <c r="N585" s="2"/>
      <c r="O585" s="32"/>
      <c r="P585" s="32"/>
      <c r="Q585" s="2"/>
      <c r="R585" s="2"/>
      <c r="S585" s="2"/>
      <c r="T585" s="2"/>
      <c r="U585" s="37">
        <f t="shared" si="132"/>
        <v>1</v>
      </c>
      <c r="V585" s="34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</row>
    <row r="586" spans="1:86">
      <c r="A586" s="35">
        <v>45881</v>
      </c>
      <c r="B586" s="1"/>
      <c r="C586" s="1"/>
      <c r="D586" s="1"/>
      <c r="E586" s="2" t="s">
        <v>245</v>
      </c>
      <c r="F586" s="2">
        <v>50</v>
      </c>
      <c r="G586" s="2" t="s">
        <v>333</v>
      </c>
      <c r="H586" s="2">
        <v>117.5</v>
      </c>
      <c r="I586" s="2">
        <v>1076</v>
      </c>
      <c r="J586" s="12">
        <f t="shared" si="142"/>
        <v>1076</v>
      </c>
      <c r="K586" s="5">
        <f t="shared" si="143"/>
        <v>18314.893617021276</v>
      </c>
      <c r="L586" s="2">
        <v>1</v>
      </c>
      <c r="M586" s="37">
        <f t="shared" si="141"/>
        <v>1</v>
      </c>
      <c r="N586" s="2"/>
      <c r="O586" s="32"/>
      <c r="P586" s="32"/>
      <c r="Q586" s="2"/>
      <c r="R586" s="2"/>
      <c r="S586" s="2"/>
      <c r="T586" s="2"/>
      <c r="U586" s="37">
        <f t="shared" si="132"/>
        <v>1</v>
      </c>
      <c r="V586" s="34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</row>
    <row r="587" spans="1:86">
      <c r="A587" s="35">
        <v>45881</v>
      </c>
      <c r="B587" s="1"/>
      <c r="C587" s="1"/>
      <c r="D587" s="1"/>
      <c r="E587" s="2" t="s">
        <v>245</v>
      </c>
      <c r="F587" s="2">
        <v>69</v>
      </c>
      <c r="G587" s="2" t="s">
        <v>333</v>
      </c>
      <c r="H587" s="2">
        <v>111</v>
      </c>
      <c r="I587" s="2">
        <v>853</v>
      </c>
      <c r="J587" s="12">
        <f t="shared" si="142"/>
        <v>853</v>
      </c>
      <c r="K587" s="5">
        <f t="shared" si="143"/>
        <v>11137.22418070244</v>
      </c>
      <c r="L587" s="2">
        <v>1</v>
      </c>
      <c r="M587" s="37">
        <f t="shared" si="141"/>
        <v>1</v>
      </c>
      <c r="N587" s="2"/>
      <c r="O587" s="32"/>
      <c r="P587" s="32"/>
      <c r="Q587" s="2"/>
      <c r="R587" s="2"/>
      <c r="S587" s="2"/>
      <c r="T587" s="2"/>
      <c r="U587" s="37">
        <f t="shared" si="132"/>
        <v>1</v>
      </c>
      <c r="V587" s="34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</row>
    <row r="588" spans="1:86">
      <c r="A588" s="35">
        <v>45881</v>
      </c>
      <c r="B588" s="1"/>
      <c r="C588" s="1"/>
      <c r="D588" s="1"/>
      <c r="E588" s="2" t="s">
        <v>245</v>
      </c>
      <c r="F588" s="2">
        <v>68</v>
      </c>
      <c r="G588" s="2" t="s">
        <v>333</v>
      </c>
      <c r="H588" s="2">
        <v>119</v>
      </c>
      <c r="I588" s="2">
        <v>1410</v>
      </c>
      <c r="J588" s="12">
        <f t="shared" si="142"/>
        <v>1410</v>
      </c>
      <c r="K588" s="5">
        <f t="shared" si="143"/>
        <v>17424.616905585761</v>
      </c>
      <c r="L588" s="2">
        <v>1</v>
      </c>
      <c r="M588" s="37">
        <f t="shared" si="141"/>
        <v>1</v>
      </c>
      <c r="N588" s="2"/>
      <c r="O588" s="32"/>
      <c r="P588" s="32"/>
      <c r="Q588" s="2"/>
      <c r="R588" s="2"/>
      <c r="S588" s="2"/>
      <c r="T588" s="2"/>
      <c r="U588" s="37">
        <f t="shared" si="132"/>
        <v>1</v>
      </c>
      <c r="V588" s="34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</row>
    <row r="589" spans="1:86">
      <c r="A589" s="35">
        <v>45881</v>
      </c>
      <c r="B589" s="1"/>
      <c r="C589" s="1"/>
      <c r="D589" s="1"/>
      <c r="E589" s="2" t="s">
        <v>245</v>
      </c>
      <c r="F589" s="2">
        <v>57</v>
      </c>
      <c r="G589" s="2" t="s">
        <v>333</v>
      </c>
      <c r="H589" s="2">
        <v>115</v>
      </c>
      <c r="I589" s="2">
        <v>1013</v>
      </c>
      <c r="J589" s="12">
        <f t="shared" si="142"/>
        <v>1013</v>
      </c>
      <c r="K589" s="5">
        <f t="shared" si="143"/>
        <v>15453.852021357739</v>
      </c>
      <c r="L589" s="2">
        <v>1</v>
      </c>
      <c r="M589" s="37">
        <f t="shared" si="141"/>
        <v>1</v>
      </c>
      <c r="N589" s="2"/>
      <c r="O589" s="32"/>
      <c r="P589" s="32"/>
      <c r="Q589" s="2"/>
      <c r="R589" s="2"/>
      <c r="S589" s="2"/>
      <c r="T589" s="2"/>
      <c r="U589" s="37">
        <f t="shared" si="132"/>
        <v>1</v>
      </c>
      <c r="V589" s="34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</row>
    <row r="590" spans="1:86">
      <c r="A590" s="35" t="s">
        <v>335</v>
      </c>
      <c r="B590" s="1" t="s">
        <v>336</v>
      </c>
      <c r="C590" s="1" t="s">
        <v>336</v>
      </c>
      <c r="D590" s="1"/>
      <c r="E590" s="2" t="s">
        <v>337</v>
      </c>
      <c r="F590" s="2">
        <v>255</v>
      </c>
      <c r="G590" s="2" t="s">
        <v>338</v>
      </c>
      <c r="H590" s="2">
        <v>70</v>
      </c>
      <c r="I590" s="2">
        <v>745.89</v>
      </c>
      <c r="J590" s="12">
        <f t="shared" ref="J590:J592" si="144">IFERROR(IF(AND(V590=3,U590&gt;0),I590,I590*U590),"Verify")</f>
        <v>48482.85</v>
      </c>
      <c r="K590" s="5">
        <f t="shared" ref="K590:K592" si="145">+J590/(F590*H590*10^-5)</f>
        <v>271612.60504201677</v>
      </c>
      <c r="L590" s="2">
        <v>65</v>
      </c>
      <c r="M590" s="37">
        <f t="shared" si="141"/>
        <v>65</v>
      </c>
      <c r="N590" s="2"/>
      <c r="O590" s="32"/>
      <c r="P590" s="32"/>
      <c r="Q590" s="2"/>
      <c r="R590" s="2"/>
      <c r="S590" s="2"/>
      <c r="T590" s="2"/>
      <c r="U590" s="37">
        <f t="shared" si="132"/>
        <v>65</v>
      </c>
      <c r="V590" s="34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</row>
    <row r="591" spans="1:86">
      <c r="A591" s="35" t="s">
        <v>339</v>
      </c>
      <c r="B591" s="1" t="s">
        <v>203</v>
      </c>
      <c r="C591" s="1" t="s">
        <v>203</v>
      </c>
      <c r="D591" s="1"/>
      <c r="E591" s="2" t="s">
        <v>99</v>
      </c>
      <c r="F591" s="2">
        <v>255</v>
      </c>
      <c r="G591" s="2" t="s">
        <v>340</v>
      </c>
      <c r="H591" s="2">
        <v>70</v>
      </c>
      <c r="I591" s="2">
        <v>580</v>
      </c>
      <c r="J591" s="12">
        <f t="shared" si="144"/>
        <v>1740</v>
      </c>
      <c r="K591" s="5">
        <f t="shared" si="145"/>
        <v>9747.8991596638643</v>
      </c>
      <c r="L591" s="2">
        <v>3</v>
      </c>
      <c r="M591" s="37">
        <f t="shared" si="141"/>
        <v>3</v>
      </c>
      <c r="N591" s="2"/>
      <c r="O591" s="32"/>
      <c r="P591" s="32"/>
      <c r="Q591" s="2"/>
      <c r="R591" s="2"/>
      <c r="S591" s="2"/>
      <c r="T591" s="2"/>
      <c r="U591" s="37">
        <f t="shared" ref="U591:U592" si="146">+L591-X591-Z591-AD591-AB591-AF591-AH591-AJ591-AL591-AO591-AQ591-AS591-AU591-AW591-AY591-BA591-BC591-BE591-BG591-BI591-BK591-BM591-BO591-BQ591-BS591-BU591-BW591-BY591-CA591-CC591-CE591-CG591</f>
        <v>3</v>
      </c>
      <c r="V591" s="34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</row>
    <row r="592" spans="1:86">
      <c r="A592" s="35" t="s">
        <v>339</v>
      </c>
      <c r="B592" s="1" t="s">
        <v>203</v>
      </c>
      <c r="C592" s="1" t="s">
        <v>203</v>
      </c>
      <c r="D592" s="1"/>
      <c r="E592" s="2" t="s">
        <v>99</v>
      </c>
      <c r="F592" s="2">
        <v>255</v>
      </c>
      <c r="G592" s="2" t="s">
        <v>340</v>
      </c>
      <c r="H592" s="2">
        <v>70</v>
      </c>
      <c r="I592" s="2">
        <v>616</v>
      </c>
      <c r="J592" s="12">
        <f t="shared" si="144"/>
        <v>3080</v>
      </c>
      <c r="K592" s="5">
        <f t="shared" si="145"/>
        <v>17254.901960784311</v>
      </c>
      <c r="L592" s="2">
        <v>5</v>
      </c>
      <c r="M592" s="37">
        <f t="shared" si="141"/>
        <v>5</v>
      </c>
      <c r="N592" s="2"/>
      <c r="O592" s="32"/>
      <c r="P592" s="32"/>
      <c r="Q592" s="2"/>
      <c r="R592" s="2"/>
      <c r="S592" s="2"/>
      <c r="T592" s="2"/>
      <c r="U592" s="37">
        <f t="shared" si="146"/>
        <v>5</v>
      </c>
      <c r="V592" s="34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</row>
    <row r="593" spans="1:86">
      <c r="A593" s="35" t="s">
        <v>341</v>
      </c>
      <c r="B593" s="1" t="s">
        <v>203</v>
      </c>
      <c r="C593" s="1" t="s">
        <v>203</v>
      </c>
      <c r="D593" s="1"/>
      <c r="E593" s="2" t="s">
        <v>99</v>
      </c>
      <c r="F593" s="2">
        <v>255</v>
      </c>
      <c r="G593" s="2" t="s">
        <v>340</v>
      </c>
      <c r="H593" s="2">
        <v>70</v>
      </c>
      <c r="I593" s="2">
        <v>616</v>
      </c>
      <c r="J593" s="12">
        <f t="shared" ref="J593:J594" si="147">IFERROR(IF(AND(V593=3,U593&gt;0),I593,I593*U593),"Verify")</f>
        <v>16632</v>
      </c>
      <c r="K593" s="5">
        <f t="shared" ref="K593:K594" si="148">+J593/(F593*H593*10^-5)</f>
        <v>93176.470588235286</v>
      </c>
      <c r="L593" s="2">
        <v>27</v>
      </c>
      <c r="M593" s="37">
        <f t="shared" ref="M593:M612" si="149">+L593-X593-Z593-AD593-AB593-AF593-AH593-AJ593-AL593-AO593-AQ593-AS593-AU593-AW593-AY593-BA593-BC593-BE593-BG593-BI593-BK593-BM593-BO593-BQ593-BS593-BU593-BW593-BY593-CA593-CC593-CE593-CG593</f>
        <v>27</v>
      </c>
      <c r="N593" s="2"/>
      <c r="O593" s="32"/>
      <c r="P593" s="32"/>
      <c r="Q593" s="2"/>
      <c r="R593" s="2"/>
      <c r="S593" s="2"/>
      <c r="T593" s="2"/>
      <c r="U593" s="37">
        <f t="shared" ref="U593:U611" si="150">+L593-X593-Z593-AD593-AB593-AF593-AH593-AJ593-AL593-AO593-AQ593-AS593-AU593-AW593-AY593-BA593-BC593-BE593-BG593-BI593-BK593-BM593-BO593-BQ593-BS593-BU593-BW593-BY593-CA593-CC593-CE593-CG593</f>
        <v>27</v>
      </c>
      <c r="V593" s="34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</row>
    <row r="594" spans="1:86">
      <c r="A594" s="35" t="s">
        <v>342</v>
      </c>
      <c r="B594" s="1" t="s">
        <v>343</v>
      </c>
      <c r="C594" s="1" t="s">
        <v>343</v>
      </c>
      <c r="D594" s="1"/>
      <c r="E594" s="2" t="s">
        <v>344</v>
      </c>
      <c r="F594" s="2">
        <v>40</v>
      </c>
      <c r="G594" s="2" t="s">
        <v>345</v>
      </c>
      <c r="H594" s="2">
        <v>97</v>
      </c>
      <c r="I594" s="2">
        <v>645</v>
      </c>
      <c r="J594" s="12">
        <f t="shared" si="147"/>
        <v>9675</v>
      </c>
      <c r="K594" s="5">
        <f t="shared" si="148"/>
        <v>249355.67010309277</v>
      </c>
      <c r="L594" s="2">
        <v>15</v>
      </c>
      <c r="M594" s="37">
        <f t="shared" si="149"/>
        <v>15</v>
      </c>
      <c r="N594" s="2"/>
      <c r="O594" s="32"/>
      <c r="P594" s="32"/>
      <c r="Q594" s="2"/>
      <c r="R594" s="2"/>
      <c r="S594" s="2"/>
      <c r="T594" s="2"/>
      <c r="U594" s="37">
        <f t="shared" si="150"/>
        <v>15</v>
      </c>
      <c r="V594" s="34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</row>
    <row r="595" spans="1:86">
      <c r="A595" s="35">
        <v>45899</v>
      </c>
      <c r="B595" s="1" t="s">
        <v>346</v>
      </c>
      <c r="C595" s="1" t="s">
        <v>346</v>
      </c>
      <c r="D595" s="1"/>
      <c r="E595" s="2" t="s">
        <v>41</v>
      </c>
      <c r="F595" s="2">
        <v>70</v>
      </c>
      <c r="G595" s="2" t="s">
        <v>347</v>
      </c>
      <c r="H595" s="2">
        <v>64</v>
      </c>
      <c r="I595" s="2">
        <v>416.65</v>
      </c>
      <c r="J595" s="12">
        <f t="shared" ref="J595:J612" si="151">IFERROR(IF(AND(V595=3,U595&gt;0),I595,I595*U595),"Verify")</f>
        <v>5416.45</v>
      </c>
      <c r="K595" s="5">
        <f t="shared" ref="K595:K612" si="152">+J595/(F595*H595*10^-5)</f>
        <v>120902.90178571426</v>
      </c>
      <c r="L595" s="2">
        <v>13</v>
      </c>
      <c r="M595" s="37">
        <f t="shared" si="149"/>
        <v>13</v>
      </c>
      <c r="N595" s="2" t="s">
        <v>348</v>
      </c>
      <c r="O595" s="32">
        <f>J595</f>
        <v>5416.45</v>
      </c>
      <c r="P595" s="32">
        <f>+J595-O595</f>
        <v>0</v>
      </c>
      <c r="Q595" s="2"/>
      <c r="R595" s="2"/>
      <c r="S595" s="2"/>
      <c r="T595" s="2"/>
      <c r="U595" s="37">
        <f t="shared" si="150"/>
        <v>13</v>
      </c>
      <c r="V595" s="34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</row>
    <row r="596" spans="1:86">
      <c r="A596" s="35">
        <v>45899</v>
      </c>
      <c r="B596" s="1" t="s">
        <v>349</v>
      </c>
      <c r="C596" s="1" t="s">
        <v>349</v>
      </c>
      <c r="D596" s="1"/>
      <c r="E596" s="2" t="s">
        <v>41</v>
      </c>
      <c r="F596" s="2">
        <v>70</v>
      </c>
      <c r="G596" s="2" t="s">
        <v>347</v>
      </c>
      <c r="H596" s="2">
        <v>192</v>
      </c>
      <c r="I596" s="2">
        <v>1250.875</v>
      </c>
      <c r="J596" s="12">
        <f t="shared" si="151"/>
        <v>6254.375</v>
      </c>
      <c r="K596" s="5">
        <f t="shared" si="152"/>
        <v>46535.528273809519</v>
      </c>
      <c r="L596" s="2">
        <v>5</v>
      </c>
      <c r="M596" s="37">
        <f t="shared" si="149"/>
        <v>5</v>
      </c>
      <c r="N596" s="2" t="s">
        <v>348</v>
      </c>
      <c r="O596" s="32">
        <f>J596</f>
        <v>6254.375</v>
      </c>
      <c r="P596" s="32">
        <f>+J596-O596</f>
        <v>0</v>
      </c>
      <c r="Q596" s="2"/>
      <c r="R596" s="2"/>
      <c r="S596" s="2"/>
      <c r="T596" s="2"/>
      <c r="U596" s="37">
        <f t="shared" si="150"/>
        <v>5</v>
      </c>
      <c r="V596" s="34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</row>
    <row r="597" spans="1:86">
      <c r="A597" s="35">
        <v>45899</v>
      </c>
      <c r="B597" s="1" t="s">
        <v>350</v>
      </c>
      <c r="C597" s="1" t="s">
        <v>350</v>
      </c>
      <c r="D597" s="1"/>
      <c r="E597" s="2" t="s">
        <v>41</v>
      </c>
      <c r="F597" s="2">
        <v>70</v>
      </c>
      <c r="G597" s="2" t="s">
        <v>347</v>
      </c>
      <c r="H597" s="2">
        <v>70.5</v>
      </c>
      <c r="I597" s="2">
        <v>460.35</v>
      </c>
      <c r="J597" s="12">
        <f t="shared" si="151"/>
        <v>7825.9500000000007</v>
      </c>
      <c r="K597" s="5">
        <f t="shared" si="152"/>
        <v>158580.54711246199</v>
      </c>
      <c r="L597" s="2">
        <v>17</v>
      </c>
      <c r="M597" s="37">
        <f t="shared" si="149"/>
        <v>17</v>
      </c>
      <c r="N597" s="2"/>
      <c r="O597" s="32"/>
      <c r="P597" s="32">
        <f>+J597-O597</f>
        <v>7825.9500000000007</v>
      </c>
      <c r="Q597" s="2"/>
      <c r="R597" s="2"/>
      <c r="S597" s="2"/>
      <c r="T597" s="2"/>
      <c r="U597" s="37">
        <f t="shared" si="150"/>
        <v>17</v>
      </c>
      <c r="V597" s="34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</row>
    <row r="598" spans="1:86">
      <c r="A598" s="35">
        <v>45899</v>
      </c>
      <c r="B598" s="1" t="s">
        <v>351</v>
      </c>
      <c r="C598" s="1" t="s">
        <v>351</v>
      </c>
      <c r="D598" s="1"/>
      <c r="E598" s="2" t="s">
        <v>41</v>
      </c>
      <c r="F598" s="2">
        <v>70</v>
      </c>
      <c r="G598" s="2" t="s">
        <v>347</v>
      </c>
      <c r="H598" s="2">
        <v>75</v>
      </c>
      <c r="I598" s="2">
        <v>488.26</v>
      </c>
      <c r="J598" s="12">
        <f t="shared" si="151"/>
        <v>8788.68</v>
      </c>
      <c r="K598" s="5">
        <f t="shared" si="152"/>
        <v>167403.42857142855</v>
      </c>
      <c r="L598" s="2">
        <v>18</v>
      </c>
      <c r="M598" s="37">
        <f t="shared" si="149"/>
        <v>18</v>
      </c>
      <c r="N598" s="2"/>
      <c r="O598" s="32"/>
      <c r="P598" s="32">
        <f>+J598-O598</f>
        <v>8788.68</v>
      </c>
      <c r="Q598" s="2"/>
      <c r="R598" s="2"/>
      <c r="S598" s="2"/>
      <c r="T598" s="2"/>
      <c r="U598" s="37">
        <f t="shared" si="150"/>
        <v>18</v>
      </c>
      <c r="V598" s="34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</row>
    <row r="599" spans="1:86">
      <c r="A599" s="35">
        <v>45903</v>
      </c>
      <c r="B599" s="1"/>
      <c r="C599" s="1"/>
      <c r="D599" s="1"/>
      <c r="E599" s="2" t="s">
        <v>37</v>
      </c>
      <c r="F599" s="2">
        <v>450</v>
      </c>
      <c r="G599" s="2" t="s">
        <v>352</v>
      </c>
      <c r="H599" s="2">
        <v>141</v>
      </c>
      <c r="I599" s="2">
        <v>1117</v>
      </c>
      <c r="J599" s="12">
        <f t="shared" si="151"/>
        <v>14521</v>
      </c>
      <c r="K599" s="5">
        <f t="shared" si="152"/>
        <v>22885.736800630417</v>
      </c>
      <c r="L599" s="2">
        <v>13</v>
      </c>
      <c r="M599" s="37">
        <f t="shared" si="149"/>
        <v>13</v>
      </c>
      <c r="N599" s="2"/>
      <c r="O599" s="32"/>
      <c r="P599" s="32"/>
      <c r="Q599" s="2"/>
      <c r="R599" s="2"/>
      <c r="S599" s="2"/>
      <c r="T599" s="2"/>
      <c r="U599" s="37">
        <f t="shared" si="150"/>
        <v>13</v>
      </c>
      <c r="V599" s="34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</row>
    <row r="600" spans="1:86">
      <c r="A600" s="35">
        <v>45903</v>
      </c>
      <c r="B600" s="1"/>
      <c r="C600" s="1"/>
      <c r="D600" s="1"/>
      <c r="E600" s="2" t="s">
        <v>37</v>
      </c>
      <c r="F600" s="2">
        <v>350</v>
      </c>
      <c r="G600" s="2" t="s">
        <v>352</v>
      </c>
      <c r="H600" s="2">
        <v>69</v>
      </c>
      <c r="I600" s="2">
        <v>546</v>
      </c>
      <c r="J600" s="12">
        <f t="shared" si="151"/>
        <v>19656</v>
      </c>
      <c r="K600" s="5">
        <f t="shared" si="152"/>
        <v>81391.304347826081</v>
      </c>
      <c r="L600" s="2">
        <v>36</v>
      </c>
      <c r="M600" s="37">
        <f t="shared" si="149"/>
        <v>36</v>
      </c>
      <c r="N600" s="2"/>
      <c r="O600" s="32"/>
      <c r="P600" s="32"/>
      <c r="Q600" s="2"/>
      <c r="R600" s="2"/>
      <c r="S600" s="2"/>
      <c r="T600" s="2"/>
      <c r="U600" s="37">
        <f t="shared" si="150"/>
        <v>36</v>
      </c>
      <c r="V600" s="34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</row>
    <row r="601" spans="1:86">
      <c r="A601" s="35">
        <v>45903</v>
      </c>
      <c r="B601" s="1"/>
      <c r="C601" s="1"/>
      <c r="D601" s="1"/>
      <c r="E601" s="2" t="s">
        <v>37</v>
      </c>
      <c r="F601" s="2">
        <v>400</v>
      </c>
      <c r="G601" s="2" t="s">
        <v>352</v>
      </c>
      <c r="H601" s="2">
        <v>94</v>
      </c>
      <c r="I601" s="2">
        <v>737</v>
      </c>
      <c r="J601" s="12">
        <f t="shared" si="151"/>
        <v>20636</v>
      </c>
      <c r="K601" s="5">
        <f t="shared" si="152"/>
        <v>54882.978723404245</v>
      </c>
      <c r="L601" s="2">
        <v>28</v>
      </c>
      <c r="M601" s="37">
        <f t="shared" si="149"/>
        <v>28</v>
      </c>
      <c r="N601" s="2"/>
      <c r="O601" s="32"/>
      <c r="P601" s="32"/>
      <c r="Q601" s="2"/>
      <c r="R601" s="2"/>
      <c r="S601" s="2"/>
      <c r="T601" s="2"/>
      <c r="U601" s="37">
        <f t="shared" si="150"/>
        <v>28</v>
      </c>
      <c r="V601" s="34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</row>
    <row r="602" spans="1:86">
      <c r="A602" s="35">
        <v>45903</v>
      </c>
      <c r="B602" s="1"/>
      <c r="C602" s="1"/>
      <c r="D602" s="1"/>
      <c r="E602" s="2" t="s">
        <v>37</v>
      </c>
      <c r="F602" s="2">
        <v>450</v>
      </c>
      <c r="G602" s="2" t="s">
        <v>352</v>
      </c>
      <c r="H602" s="2">
        <v>141</v>
      </c>
      <c r="I602" s="2">
        <v>1117</v>
      </c>
      <c r="J602" s="12">
        <f t="shared" si="151"/>
        <v>84892</v>
      </c>
      <c r="K602" s="5">
        <f t="shared" si="152"/>
        <v>133793.53821907012</v>
      </c>
      <c r="L602" s="2">
        <v>76</v>
      </c>
      <c r="M602" s="37">
        <f t="shared" si="149"/>
        <v>76</v>
      </c>
      <c r="N602" s="2"/>
      <c r="O602" s="32"/>
      <c r="P602" s="32"/>
      <c r="Q602" s="2"/>
      <c r="R602" s="2"/>
      <c r="S602" s="2"/>
      <c r="T602" s="2"/>
      <c r="U602" s="37">
        <f t="shared" si="150"/>
        <v>76</v>
      </c>
      <c r="V602" s="34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</row>
    <row r="603" spans="1:86">
      <c r="A603" s="35">
        <v>45903</v>
      </c>
      <c r="B603" s="1"/>
      <c r="C603" s="1"/>
      <c r="D603" s="1"/>
      <c r="E603" s="2" t="s">
        <v>37</v>
      </c>
      <c r="F603" s="2">
        <v>350</v>
      </c>
      <c r="G603" s="2" t="s">
        <v>352</v>
      </c>
      <c r="H603" s="2">
        <v>210</v>
      </c>
      <c r="I603" s="2">
        <v>1661</v>
      </c>
      <c r="J603" s="12">
        <f t="shared" si="151"/>
        <v>28237</v>
      </c>
      <c r="K603" s="5">
        <f t="shared" si="152"/>
        <v>38417.687074829926</v>
      </c>
      <c r="L603" s="2">
        <v>17</v>
      </c>
      <c r="M603" s="37">
        <f t="shared" si="149"/>
        <v>17</v>
      </c>
      <c r="N603" s="2"/>
      <c r="O603" s="32"/>
      <c r="P603" s="32"/>
      <c r="Q603" s="2"/>
      <c r="R603" s="2"/>
      <c r="S603" s="2"/>
      <c r="T603" s="2"/>
      <c r="U603" s="37">
        <f t="shared" si="150"/>
        <v>17</v>
      </c>
      <c r="V603" s="34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</row>
    <row r="604" spans="1:86" ht="28.8">
      <c r="A604" s="35">
        <v>45919</v>
      </c>
      <c r="B604" s="1" t="s">
        <v>353</v>
      </c>
      <c r="C604" s="1" t="s">
        <v>353</v>
      </c>
      <c r="D604" s="1" t="s">
        <v>354</v>
      </c>
      <c r="E604" s="2" t="s">
        <v>245</v>
      </c>
      <c r="F604" s="2">
        <v>70</v>
      </c>
      <c r="G604" s="2" t="s">
        <v>287</v>
      </c>
      <c r="H604" s="2">
        <v>202</v>
      </c>
      <c r="I604" s="2">
        <v>2316</v>
      </c>
      <c r="J604" s="12">
        <f t="shared" si="151"/>
        <v>2316</v>
      </c>
      <c r="K604" s="5">
        <f t="shared" si="152"/>
        <v>16379.06647807638</v>
      </c>
      <c r="L604" s="2">
        <v>1</v>
      </c>
      <c r="M604" s="37">
        <f t="shared" si="149"/>
        <v>1</v>
      </c>
      <c r="N604" s="2"/>
      <c r="O604" s="32"/>
      <c r="P604" s="32"/>
      <c r="Q604" s="2"/>
      <c r="R604" s="2"/>
      <c r="S604" s="2"/>
      <c r="T604" s="2"/>
      <c r="U604" s="37">
        <f t="shared" si="150"/>
        <v>1</v>
      </c>
      <c r="V604" s="34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</row>
    <row r="605" spans="1:86" ht="28.8">
      <c r="A605" s="35">
        <v>45919</v>
      </c>
      <c r="B605" s="1" t="s">
        <v>355</v>
      </c>
      <c r="C605" s="1" t="s">
        <v>355</v>
      </c>
      <c r="D605" s="1" t="s">
        <v>354</v>
      </c>
      <c r="E605" s="2" t="s">
        <v>245</v>
      </c>
      <c r="F605" s="2">
        <v>50</v>
      </c>
      <c r="G605" s="2" t="s">
        <v>287</v>
      </c>
      <c r="H605" s="2">
        <v>121.8</v>
      </c>
      <c r="I605" s="2">
        <v>1108</v>
      </c>
      <c r="J605" s="12">
        <f t="shared" si="151"/>
        <v>1108</v>
      </c>
      <c r="K605" s="5">
        <f t="shared" si="152"/>
        <v>18193.76026272578</v>
      </c>
      <c r="L605" s="2">
        <v>1</v>
      </c>
      <c r="M605" s="37">
        <f t="shared" si="149"/>
        <v>1</v>
      </c>
      <c r="N605" s="2"/>
      <c r="O605" s="32"/>
      <c r="P605" s="32"/>
      <c r="Q605" s="2"/>
      <c r="R605" s="2"/>
      <c r="S605" s="2"/>
      <c r="T605" s="2"/>
      <c r="U605" s="37">
        <f t="shared" si="150"/>
        <v>1</v>
      </c>
      <c r="V605" s="34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</row>
    <row r="606" spans="1:86" ht="28.8">
      <c r="A606" s="35">
        <v>45919</v>
      </c>
      <c r="B606" s="1" t="s">
        <v>356</v>
      </c>
      <c r="C606" s="1" t="s">
        <v>356</v>
      </c>
      <c r="D606" s="1" t="s">
        <v>354</v>
      </c>
      <c r="E606" s="2" t="s">
        <v>245</v>
      </c>
      <c r="F606" s="2">
        <v>77</v>
      </c>
      <c r="G606" s="2" t="s">
        <v>287</v>
      </c>
      <c r="H606" s="2">
        <v>121.5</v>
      </c>
      <c r="I606" s="2">
        <v>1288</v>
      </c>
      <c r="J606" s="12">
        <f t="shared" si="151"/>
        <v>1288</v>
      </c>
      <c r="K606" s="5">
        <f t="shared" si="152"/>
        <v>13767.302656191543</v>
      </c>
      <c r="L606" s="2">
        <v>1</v>
      </c>
      <c r="M606" s="37">
        <f t="shared" si="149"/>
        <v>1</v>
      </c>
      <c r="N606" s="2"/>
      <c r="O606" s="32"/>
      <c r="P606" s="32">
        <f>J606-O606</f>
        <v>1288</v>
      </c>
      <c r="Q606" s="2"/>
      <c r="R606" s="2"/>
      <c r="S606" s="2"/>
      <c r="T606" s="2"/>
      <c r="U606" s="37">
        <f t="shared" si="150"/>
        <v>1</v>
      </c>
      <c r="V606" s="34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</row>
    <row r="607" spans="1:86" ht="28.8">
      <c r="A607" s="35">
        <v>45919</v>
      </c>
      <c r="B607" s="1" t="s">
        <v>357</v>
      </c>
      <c r="C607" s="1" t="s">
        <v>357</v>
      </c>
      <c r="D607" s="1" t="s">
        <v>354</v>
      </c>
      <c r="E607" s="2" t="s">
        <v>245</v>
      </c>
      <c r="F607" s="2">
        <v>61</v>
      </c>
      <c r="G607" s="2" t="s">
        <v>287</v>
      </c>
      <c r="H607" s="2">
        <v>124.5</v>
      </c>
      <c r="I607" s="2">
        <v>1130</v>
      </c>
      <c r="J607" s="12">
        <f t="shared" si="151"/>
        <v>1130</v>
      </c>
      <c r="K607" s="5">
        <f t="shared" si="152"/>
        <v>14879.188886694315</v>
      </c>
      <c r="L607" s="2">
        <v>1</v>
      </c>
      <c r="M607" s="37">
        <f t="shared" si="149"/>
        <v>1</v>
      </c>
      <c r="N607" s="2"/>
      <c r="O607" s="32"/>
      <c r="P607" s="32"/>
      <c r="Q607" s="2"/>
      <c r="R607" s="2"/>
      <c r="S607" s="2"/>
      <c r="T607" s="2"/>
      <c r="U607" s="37">
        <f t="shared" si="150"/>
        <v>1</v>
      </c>
      <c r="V607" s="34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</row>
    <row r="608" spans="1:86" ht="28.8">
      <c r="A608" s="35">
        <v>45919</v>
      </c>
      <c r="B608" s="1" t="s">
        <v>358</v>
      </c>
      <c r="C608" s="1" t="s">
        <v>358</v>
      </c>
      <c r="D608" s="1" t="s">
        <v>354</v>
      </c>
      <c r="E608" s="2" t="s">
        <v>245</v>
      </c>
      <c r="F608" s="2">
        <v>64</v>
      </c>
      <c r="G608" s="2" t="s">
        <v>287</v>
      </c>
      <c r="H608" s="2">
        <v>121</v>
      </c>
      <c r="I608" s="2">
        <v>1076</v>
      </c>
      <c r="J608" s="12">
        <f t="shared" si="151"/>
        <v>1076</v>
      </c>
      <c r="K608" s="5">
        <f t="shared" si="152"/>
        <v>13894.628099173553</v>
      </c>
      <c r="L608" s="2">
        <v>1</v>
      </c>
      <c r="M608" s="37">
        <f t="shared" si="149"/>
        <v>1</v>
      </c>
      <c r="N608" s="2"/>
      <c r="O608" s="32"/>
      <c r="P608" s="32"/>
      <c r="Q608" s="2"/>
      <c r="R608" s="2"/>
      <c r="S608" s="2"/>
      <c r="T608" s="2"/>
      <c r="U608" s="37">
        <f t="shared" si="150"/>
        <v>1</v>
      </c>
      <c r="V608" s="34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</row>
    <row r="609" spans="1:86" ht="28.8">
      <c r="A609" s="35">
        <v>45919</v>
      </c>
      <c r="B609" s="1" t="s">
        <v>359</v>
      </c>
      <c r="C609" s="1" t="s">
        <v>359</v>
      </c>
      <c r="D609" s="1" t="s">
        <v>354</v>
      </c>
      <c r="E609" s="2" t="s">
        <v>245</v>
      </c>
      <c r="F609" s="2">
        <v>77</v>
      </c>
      <c r="G609" s="2" t="s">
        <v>287</v>
      </c>
      <c r="H609" s="2">
        <v>122</v>
      </c>
      <c r="I609" s="2">
        <v>1448</v>
      </c>
      <c r="J609" s="12">
        <f t="shared" si="151"/>
        <v>1448</v>
      </c>
      <c r="K609" s="5">
        <f t="shared" si="152"/>
        <v>15414.094102618692</v>
      </c>
      <c r="L609" s="2">
        <v>1</v>
      </c>
      <c r="M609" s="37">
        <f t="shared" si="149"/>
        <v>1</v>
      </c>
      <c r="N609" s="2"/>
      <c r="O609" s="32"/>
      <c r="P609" s="32">
        <f>J609-O609</f>
        <v>1448</v>
      </c>
      <c r="Q609" s="2"/>
      <c r="R609" s="2"/>
      <c r="S609" s="2"/>
      <c r="T609" s="2"/>
      <c r="U609" s="37">
        <f t="shared" si="150"/>
        <v>1</v>
      </c>
      <c r="V609" s="34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</row>
    <row r="610" spans="1:86" ht="28.8">
      <c r="A610" s="35">
        <v>45919</v>
      </c>
      <c r="B610" s="1" t="s">
        <v>360</v>
      </c>
      <c r="C610" s="1" t="s">
        <v>360</v>
      </c>
      <c r="D610" s="1" t="s">
        <v>354</v>
      </c>
      <c r="E610" s="2" t="s">
        <v>245</v>
      </c>
      <c r="F610" s="2">
        <v>69</v>
      </c>
      <c r="G610" s="2" t="s">
        <v>287</v>
      </c>
      <c r="H610" s="2">
        <v>119</v>
      </c>
      <c r="I610" s="2">
        <v>1112</v>
      </c>
      <c r="J610" s="12">
        <f t="shared" si="151"/>
        <v>1112</v>
      </c>
      <c r="K610" s="5">
        <f t="shared" si="152"/>
        <v>13542.808427718914</v>
      </c>
      <c r="L610" s="2">
        <v>1</v>
      </c>
      <c r="M610" s="37">
        <f t="shared" si="149"/>
        <v>1</v>
      </c>
      <c r="N610" s="2"/>
      <c r="O610" s="32"/>
      <c r="P610" s="32"/>
      <c r="Q610" s="2"/>
      <c r="R610" s="2"/>
      <c r="S610" s="2"/>
      <c r="T610" s="2"/>
      <c r="U610" s="37">
        <f t="shared" si="150"/>
        <v>1</v>
      </c>
      <c r="V610" s="34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</row>
    <row r="611" spans="1:86" ht="28.8">
      <c r="A611" s="35">
        <v>45919</v>
      </c>
      <c r="B611" s="1" t="s">
        <v>361</v>
      </c>
      <c r="C611" s="1" t="s">
        <v>361</v>
      </c>
      <c r="D611" s="1" t="s">
        <v>354</v>
      </c>
      <c r="E611" s="2" t="s">
        <v>245</v>
      </c>
      <c r="F611" s="2">
        <v>70</v>
      </c>
      <c r="G611" s="2" t="s">
        <v>287</v>
      </c>
      <c r="H611" s="2">
        <v>128</v>
      </c>
      <c r="I611" s="2">
        <v>1186</v>
      </c>
      <c r="J611" s="12">
        <f t="shared" si="151"/>
        <v>1186</v>
      </c>
      <c r="K611" s="5">
        <f t="shared" si="152"/>
        <v>13236.607142857141</v>
      </c>
      <c r="L611" s="2">
        <v>1</v>
      </c>
      <c r="M611" s="37">
        <f t="shared" si="149"/>
        <v>1</v>
      </c>
      <c r="N611" s="2"/>
      <c r="O611" s="32"/>
      <c r="P611" s="32"/>
      <c r="Q611" s="2"/>
      <c r="R611" s="2"/>
      <c r="S611" s="2"/>
      <c r="T611" s="2"/>
      <c r="U611" s="37">
        <f t="shared" si="150"/>
        <v>1</v>
      </c>
      <c r="V611" s="34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</row>
    <row r="612" spans="1:86" ht="28.8">
      <c r="A612" s="35">
        <v>45919</v>
      </c>
      <c r="B612" s="1"/>
      <c r="C612" s="1" t="s">
        <v>362</v>
      </c>
      <c r="D612" s="1" t="s">
        <v>354</v>
      </c>
      <c r="E612" s="2" t="s">
        <v>245</v>
      </c>
      <c r="F612" s="2">
        <v>60</v>
      </c>
      <c r="G612" s="2" t="s">
        <v>287</v>
      </c>
      <c r="H612" s="2">
        <v>128</v>
      </c>
      <c r="I612" s="2">
        <v>930</v>
      </c>
      <c r="J612" s="12">
        <f t="shared" si="151"/>
        <v>930</v>
      </c>
      <c r="K612" s="5">
        <f t="shared" si="152"/>
        <v>12109.374999999998</v>
      </c>
      <c r="L612" s="2">
        <v>1</v>
      </c>
      <c r="M612" s="37">
        <f t="shared" si="149"/>
        <v>1</v>
      </c>
      <c r="N612" s="2"/>
      <c r="O612" s="32"/>
      <c r="P612" s="32"/>
      <c r="Q612" s="2"/>
      <c r="R612" s="2"/>
      <c r="S612" s="2"/>
      <c r="T612" s="2"/>
      <c r="U612" s="37">
        <f t="shared" ref="U612:U624" si="153">+L612-X612-Z612-AD612-AB612-AF612-AH612-AJ612-AL612-AO612-AQ612-AS612-AU612-AW612-AY612-BA612-BC612-BE612-BG612-BI612-BK612-BM612-BO612-BQ612-BS612-BU612-BW612-BY612-CA612-CC612-CE612-CG612</f>
        <v>1</v>
      </c>
      <c r="V612" s="34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</row>
    <row r="613" spans="1:86" ht="28.8">
      <c r="A613" s="35">
        <v>45919</v>
      </c>
      <c r="B613" s="1"/>
      <c r="C613" s="1"/>
      <c r="D613" s="1" t="s">
        <v>354</v>
      </c>
      <c r="E613" s="2" t="s">
        <v>245</v>
      </c>
      <c r="F613" s="2">
        <v>65</v>
      </c>
      <c r="G613" s="2" t="s">
        <v>287</v>
      </c>
      <c r="H613" s="2">
        <v>113</v>
      </c>
      <c r="I613" s="2">
        <v>1202</v>
      </c>
      <c r="J613" s="12">
        <f t="shared" ref="J613:J624" si="154">IFERROR(IF(AND(V613=3,U613&gt;0),I613,I613*U613),"Verify")</f>
        <v>1202</v>
      </c>
      <c r="K613" s="5">
        <f t="shared" ref="K613:K624" si="155">+J613/(F613*H613*10^-5)</f>
        <v>16364.874063989108</v>
      </c>
      <c r="L613" s="2">
        <v>1</v>
      </c>
      <c r="M613" s="37">
        <f t="shared" ref="M613:M624" si="156">+L613-X613-Z613-AD613-AB613-AF613-AH613-AJ613-AL613-AO613-AQ613-AS613-AU613-AW613-AY613-BA613-BC613-BE613-BG613-BI613-BK613-BM613-BO613-BQ613-BS613-BU613-BW613-BY613-CA613-CC613-CE613-CG613</f>
        <v>1</v>
      </c>
      <c r="N613" s="2"/>
      <c r="O613" s="32"/>
      <c r="P613" s="32"/>
      <c r="Q613" s="2"/>
      <c r="R613" s="2"/>
      <c r="S613" s="2"/>
      <c r="T613" s="2"/>
      <c r="U613" s="37">
        <f t="shared" si="153"/>
        <v>1</v>
      </c>
      <c r="V613" s="34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</row>
    <row r="614" spans="1:86" ht="28.8">
      <c r="A614" s="35">
        <v>45919</v>
      </c>
      <c r="B614" s="1" t="s">
        <v>363</v>
      </c>
      <c r="C614" s="1" t="s">
        <v>363</v>
      </c>
      <c r="D614" s="1" t="s">
        <v>354</v>
      </c>
      <c r="E614" s="2" t="s">
        <v>245</v>
      </c>
      <c r="F614" s="2">
        <v>60</v>
      </c>
      <c r="G614" s="2" t="s">
        <v>247</v>
      </c>
      <c r="H614" s="2">
        <v>107</v>
      </c>
      <c r="I614" s="2">
        <v>604</v>
      </c>
      <c r="J614" s="12">
        <f t="shared" si="154"/>
        <v>604</v>
      </c>
      <c r="K614" s="5">
        <f t="shared" si="155"/>
        <v>9408.0996884735196</v>
      </c>
      <c r="L614" s="2">
        <v>1</v>
      </c>
      <c r="M614" s="37">
        <f t="shared" si="156"/>
        <v>1</v>
      </c>
      <c r="N614" s="2"/>
      <c r="O614" s="32"/>
      <c r="P614" s="32"/>
      <c r="Q614" s="2"/>
      <c r="R614" s="2"/>
      <c r="S614" s="2"/>
      <c r="T614" s="2"/>
      <c r="U614" s="37">
        <f t="shared" si="153"/>
        <v>1</v>
      </c>
      <c r="V614" s="34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</row>
    <row r="615" spans="1:86" ht="28.8">
      <c r="A615" s="35">
        <v>45919</v>
      </c>
      <c r="B615" s="1" t="s">
        <v>364</v>
      </c>
      <c r="C615" s="1" t="s">
        <v>364</v>
      </c>
      <c r="D615" s="1" t="s">
        <v>354</v>
      </c>
      <c r="E615" s="2" t="s">
        <v>245</v>
      </c>
      <c r="F615" s="2">
        <v>70</v>
      </c>
      <c r="G615" s="2" t="s">
        <v>247</v>
      </c>
      <c r="H615" s="2">
        <v>104</v>
      </c>
      <c r="I615" s="2">
        <v>1270</v>
      </c>
      <c r="J615" s="12">
        <f t="shared" si="154"/>
        <v>1270</v>
      </c>
      <c r="K615" s="5">
        <f t="shared" si="155"/>
        <v>17445.054945054944</v>
      </c>
      <c r="L615" s="2">
        <v>1</v>
      </c>
      <c r="M615" s="37">
        <f t="shared" si="156"/>
        <v>1</v>
      </c>
      <c r="N615" s="2"/>
      <c r="O615" s="32"/>
      <c r="P615" s="32"/>
      <c r="Q615" s="2"/>
      <c r="R615" s="2"/>
      <c r="S615" s="2"/>
      <c r="T615" s="2"/>
      <c r="U615" s="37">
        <f t="shared" si="153"/>
        <v>1</v>
      </c>
      <c r="V615" s="34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</row>
    <row r="616" spans="1:86" ht="28.8">
      <c r="A616" s="35">
        <v>45919</v>
      </c>
      <c r="B616" s="1" t="s">
        <v>365</v>
      </c>
      <c r="C616" s="1" t="s">
        <v>365</v>
      </c>
      <c r="D616" s="1" t="s">
        <v>354</v>
      </c>
      <c r="E616" s="2" t="s">
        <v>245</v>
      </c>
      <c r="F616" s="2">
        <v>55</v>
      </c>
      <c r="G616" s="2" t="s">
        <v>247</v>
      </c>
      <c r="H616" s="2">
        <v>113</v>
      </c>
      <c r="I616" s="2">
        <v>733</v>
      </c>
      <c r="J616" s="12">
        <f t="shared" si="154"/>
        <v>733</v>
      </c>
      <c r="K616" s="5">
        <f t="shared" si="155"/>
        <v>11794.046661303299</v>
      </c>
      <c r="L616" s="2">
        <v>1</v>
      </c>
      <c r="M616" s="37">
        <f t="shared" si="156"/>
        <v>1</v>
      </c>
      <c r="N616" s="2"/>
      <c r="O616" s="32"/>
      <c r="P616" s="32"/>
      <c r="Q616" s="2"/>
      <c r="R616" s="2"/>
      <c r="S616" s="2"/>
      <c r="T616" s="2"/>
      <c r="U616" s="37">
        <f t="shared" si="153"/>
        <v>1</v>
      </c>
      <c r="V616" s="34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</row>
    <row r="617" spans="1:86" ht="28.8">
      <c r="A617" s="35">
        <v>45919</v>
      </c>
      <c r="B617" s="1" t="s">
        <v>365</v>
      </c>
      <c r="C617" s="1" t="s">
        <v>365</v>
      </c>
      <c r="D617" s="1" t="s">
        <v>354</v>
      </c>
      <c r="E617" s="2" t="s">
        <v>245</v>
      </c>
      <c r="F617" s="2">
        <v>55</v>
      </c>
      <c r="G617" s="2" t="s">
        <v>247</v>
      </c>
      <c r="H617" s="2">
        <v>113</v>
      </c>
      <c r="I617" s="2">
        <v>733</v>
      </c>
      <c r="J617" s="12">
        <f t="shared" si="154"/>
        <v>733</v>
      </c>
      <c r="K617" s="5">
        <f t="shared" si="155"/>
        <v>11794.046661303299</v>
      </c>
      <c r="L617" s="2">
        <v>1</v>
      </c>
      <c r="M617" s="37">
        <f t="shared" si="156"/>
        <v>1</v>
      </c>
      <c r="N617" s="2"/>
      <c r="O617" s="32"/>
      <c r="P617" s="32"/>
      <c r="Q617" s="2"/>
      <c r="R617" s="2"/>
      <c r="S617" s="2"/>
      <c r="T617" s="2"/>
      <c r="U617" s="37">
        <f t="shared" si="153"/>
        <v>1</v>
      </c>
      <c r="V617" s="34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</row>
    <row r="618" spans="1:86" ht="28.8">
      <c r="A618" s="35">
        <v>45919</v>
      </c>
      <c r="B618" s="1" t="s">
        <v>366</v>
      </c>
      <c r="C618" s="1" t="s">
        <v>366</v>
      </c>
      <c r="D618" s="1" t="s">
        <v>354</v>
      </c>
      <c r="E618" s="2" t="s">
        <v>245</v>
      </c>
      <c r="F618" s="2">
        <v>60</v>
      </c>
      <c r="G618" s="2" t="s">
        <v>247</v>
      </c>
      <c r="H618" s="2">
        <v>106</v>
      </c>
      <c r="I618" s="2">
        <v>1198</v>
      </c>
      <c r="J618" s="12">
        <f t="shared" si="154"/>
        <v>1198</v>
      </c>
      <c r="K618" s="5">
        <f t="shared" si="155"/>
        <v>18836.477987421382</v>
      </c>
      <c r="L618" s="2">
        <v>1</v>
      </c>
      <c r="M618" s="37">
        <f t="shared" si="156"/>
        <v>1</v>
      </c>
      <c r="N618" s="2"/>
      <c r="O618" s="32"/>
      <c r="P618" s="32"/>
      <c r="Q618" s="2"/>
      <c r="R618" s="2"/>
      <c r="S618" s="2"/>
      <c r="T618" s="2"/>
      <c r="U618" s="37">
        <f t="shared" si="153"/>
        <v>1</v>
      </c>
      <c r="V618" s="34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</row>
    <row r="619" spans="1:86" ht="28.8">
      <c r="A619" s="35">
        <v>45919</v>
      </c>
      <c r="B619" s="1" t="s">
        <v>367</v>
      </c>
      <c r="C619" s="1" t="s">
        <v>367</v>
      </c>
      <c r="D619" s="1" t="s">
        <v>368</v>
      </c>
      <c r="E619" s="2" t="s">
        <v>245</v>
      </c>
      <c r="F619" s="2">
        <v>70</v>
      </c>
      <c r="G619" s="2" t="s">
        <v>247</v>
      </c>
      <c r="H619" s="2">
        <v>108</v>
      </c>
      <c r="I619" s="2">
        <v>949</v>
      </c>
      <c r="J619" s="12">
        <f t="shared" si="154"/>
        <v>949</v>
      </c>
      <c r="K619" s="5">
        <f t="shared" si="155"/>
        <v>12552.910052910052</v>
      </c>
      <c r="L619" s="2">
        <v>1</v>
      </c>
      <c r="M619" s="37">
        <f t="shared" si="156"/>
        <v>1</v>
      </c>
      <c r="N619" s="2"/>
      <c r="O619" s="32"/>
      <c r="P619" s="32"/>
      <c r="Q619" s="2"/>
      <c r="R619" s="2"/>
      <c r="S619" s="2"/>
      <c r="T619" s="2"/>
      <c r="U619" s="37">
        <f t="shared" si="153"/>
        <v>1</v>
      </c>
      <c r="V619" s="34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</row>
    <row r="620" spans="1:86" ht="28.8">
      <c r="A620" s="35">
        <v>45919</v>
      </c>
      <c r="B620" s="1" t="s">
        <v>16</v>
      </c>
      <c r="C620" s="1" t="s">
        <v>16</v>
      </c>
      <c r="D620" s="1" t="s">
        <v>369</v>
      </c>
      <c r="E620" s="2" t="s">
        <v>245</v>
      </c>
      <c r="F620" s="2">
        <v>65</v>
      </c>
      <c r="G620" s="2" t="s">
        <v>287</v>
      </c>
      <c r="H620" s="2">
        <v>106</v>
      </c>
      <c r="I620" s="2">
        <v>824</v>
      </c>
      <c r="J620" s="12">
        <f t="shared" si="154"/>
        <v>824</v>
      </c>
      <c r="K620" s="5">
        <f t="shared" si="155"/>
        <v>11959.361393323657</v>
      </c>
      <c r="L620" s="2">
        <v>1</v>
      </c>
      <c r="M620" s="37">
        <f t="shared" si="156"/>
        <v>1</v>
      </c>
      <c r="N620" s="2"/>
      <c r="O620" s="32"/>
      <c r="P620" s="32"/>
      <c r="Q620" s="2"/>
      <c r="R620" s="2"/>
      <c r="S620" s="2"/>
      <c r="T620" s="2"/>
      <c r="U620" s="37">
        <f t="shared" si="153"/>
        <v>1</v>
      </c>
      <c r="V620" s="34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</row>
    <row r="621" spans="1:86" ht="28.8">
      <c r="A621" s="35">
        <v>45919</v>
      </c>
      <c r="B621" s="1" t="s">
        <v>370</v>
      </c>
      <c r="C621" s="1" t="s">
        <v>370</v>
      </c>
      <c r="D621" s="1" t="s">
        <v>369</v>
      </c>
      <c r="E621" s="2" t="s">
        <v>245</v>
      </c>
      <c r="F621" s="2">
        <v>55</v>
      </c>
      <c r="G621" s="2" t="s">
        <v>287</v>
      </c>
      <c r="H621" s="2">
        <v>131</v>
      </c>
      <c r="I621" s="2">
        <v>1856</v>
      </c>
      <c r="J621" s="12">
        <f t="shared" si="154"/>
        <v>1856</v>
      </c>
      <c r="K621" s="5">
        <f t="shared" si="155"/>
        <v>25759.888965995837</v>
      </c>
      <c r="L621" s="2">
        <v>1</v>
      </c>
      <c r="M621" s="37">
        <f t="shared" si="156"/>
        <v>1</v>
      </c>
      <c r="N621" s="2"/>
      <c r="O621" s="32"/>
      <c r="P621" s="32"/>
      <c r="Q621" s="2"/>
      <c r="R621" s="2"/>
      <c r="S621" s="2"/>
      <c r="T621" s="2"/>
      <c r="U621" s="37">
        <f t="shared" si="153"/>
        <v>1</v>
      </c>
      <c r="V621" s="34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</row>
    <row r="622" spans="1:86" ht="28.8">
      <c r="A622" s="35">
        <v>45919</v>
      </c>
      <c r="B622" s="1" t="s">
        <v>371</v>
      </c>
      <c r="C622" s="1" t="s">
        <v>371</v>
      </c>
      <c r="D622" s="1" t="s">
        <v>369</v>
      </c>
      <c r="E622" s="2" t="s">
        <v>245</v>
      </c>
      <c r="F622" s="2">
        <v>60</v>
      </c>
      <c r="G622" s="2" t="s">
        <v>287</v>
      </c>
      <c r="H622" s="2">
        <v>71</v>
      </c>
      <c r="I622" s="2">
        <v>532</v>
      </c>
      <c r="J622" s="12">
        <f t="shared" si="154"/>
        <v>532</v>
      </c>
      <c r="K622" s="5">
        <f t="shared" si="155"/>
        <v>12488.262910798121</v>
      </c>
      <c r="L622" s="2">
        <v>1</v>
      </c>
      <c r="M622" s="37">
        <f t="shared" si="156"/>
        <v>1</v>
      </c>
      <c r="N622" s="2"/>
      <c r="O622" s="32"/>
      <c r="P622" s="32"/>
      <c r="Q622" s="2"/>
      <c r="R622" s="2"/>
      <c r="S622" s="2"/>
      <c r="T622" s="2"/>
      <c r="U622" s="37">
        <f t="shared" si="153"/>
        <v>1</v>
      </c>
      <c r="V622" s="34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</row>
    <row r="623" spans="1:86" ht="28.8">
      <c r="A623" s="35">
        <v>45919</v>
      </c>
      <c r="B623" s="1" t="s">
        <v>372</v>
      </c>
      <c r="C623" s="1" t="s">
        <v>372</v>
      </c>
      <c r="D623" s="1" t="s">
        <v>369</v>
      </c>
      <c r="E623" s="2" t="s">
        <v>245</v>
      </c>
      <c r="F623" s="2">
        <v>42</v>
      </c>
      <c r="G623" s="2" t="s">
        <v>287</v>
      </c>
      <c r="H623" s="2">
        <v>116.5</v>
      </c>
      <c r="I623" s="2">
        <v>1308</v>
      </c>
      <c r="J623" s="12">
        <f t="shared" si="154"/>
        <v>1308</v>
      </c>
      <c r="K623" s="5">
        <f t="shared" si="155"/>
        <v>26732.066217044758</v>
      </c>
      <c r="L623" s="2">
        <v>1</v>
      </c>
      <c r="M623" s="37">
        <f t="shared" si="156"/>
        <v>1</v>
      </c>
      <c r="N623" s="2"/>
      <c r="O623" s="32"/>
      <c r="P623" s="32"/>
      <c r="Q623" s="2"/>
      <c r="R623" s="2"/>
      <c r="S623" s="2"/>
      <c r="T623" s="2"/>
      <c r="U623" s="37">
        <f t="shared" si="153"/>
        <v>1</v>
      </c>
      <c r="V623" s="34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</row>
    <row r="624" spans="1:86" ht="28.8">
      <c r="A624" s="35">
        <v>45919</v>
      </c>
      <c r="B624" s="1"/>
      <c r="C624" s="1"/>
      <c r="D624" s="1" t="s">
        <v>369</v>
      </c>
      <c r="E624" s="2" t="s">
        <v>245</v>
      </c>
      <c r="F624" s="2">
        <v>56</v>
      </c>
      <c r="G624" s="2" t="s">
        <v>287</v>
      </c>
      <c r="H624" s="2">
        <v>124.7</v>
      </c>
      <c r="I624" s="2">
        <v>1162</v>
      </c>
      <c r="J624" s="12">
        <f t="shared" si="154"/>
        <v>1162</v>
      </c>
      <c r="K624" s="5">
        <f t="shared" si="155"/>
        <v>16639.935846030472</v>
      </c>
      <c r="L624" s="2">
        <v>1</v>
      </c>
      <c r="M624" s="37">
        <f t="shared" si="156"/>
        <v>1</v>
      </c>
      <c r="N624" s="2"/>
      <c r="O624" s="32"/>
      <c r="P624" s="32"/>
      <c r="Q624" s="2"/>
      <c r="R624" s="2"/>
      <c r="S624" s="2"/>
      <c r="T624" s="2"/>
      <c r="U624" s="37">
        <f t="shared" si="153"/>
        <v>1</v>
      </c>
      <c r="V624" s="34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</row>
    <row r="625" spans="1:86" ht="28.8">
      <c r="A625" s="35">
        <v>45920</v>
      </c>
      <c r="B625" s="1" t="s">
        <v>373</v>
      </c>
      <c r="C625" s="1" t="s">
        <v>373</v>
      </c>
      <c r="D625" s="1" t="s">
        <v>374</v>
      </c>
      <c r="E625" s="2" t="s">
        <v>245</v>
      </c>
      <c r="F625" s="2">
        <v>60</v>
      </c>
      <c r="G625" s="2" t="s">
        <v>287</v>
      </c>
      <c r="H625" s="2">
        <v>125.5</v>
      </c>
      <c r="I625" s="2">
        <v>996</v>
      </c>
      <c r="J625" s="12">
        <f t="shared" ref="J625:J645" si="157">IFERROR(IF(AND(V625=3,U625&gt;0),I625,I625*U625),"Verify")</f>
        <v>996</v>
      </c>
      <c r="K625" s="5">
        <f t="shared" ref="K625:K645" si="158">+J625/(F625*H625*10^-5)</f>
        <v>13227.091633466134</v>
      </c>
      <c r="L625" s="2">
        <v>1</v>
      </c>
      <c r="M625" s="37">
        <f t="shared" ref="M625:M645" si="159">+L625-X625-Z625-AD625-AB625-AF625-AH625-AJ625-AL625-AO625-AQ625-AS625-AU625-AW625-AY625-BA625-BC625-BE625-BG625-BI625-BK625-BM625-BO625-BQ625-BS625-BU625-BW625-BY625-CA625-CC625-CE625-CG625</f>
        <v>1</v>
      </c>
      <c r="N625" s="2"/>
      <c r="O625" s="32"/>
      <c r="P625" s="32"/>
      <c r="Q625" s="2"/>
      <c r="R625" s="2"/>
      <c r="S625" s="2"/>
      <c r="T625" s="2"/>
      <c r="U625" s="37">
        <f t="shared" ref="U625:U645" si="160">+L625-X625-Z625-AD625-AB625-AF625-AH625-AJ625-AL625-AO625-AQ625-AS625-AU625-AW625-AY625-BA625-BC625-BE625-BG625-BI625-BK625-BM625-BO625-BQ625-BS625-BU625-BW625-BY625-CA625-CC625-CE625-CG625</f>
        <v>1</v>
      </c>
      <c r="V625" s="34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</row>
    <row r="626" spans="1:86" ht="28.8">
      <c r="A626" s="35">
        <v>45920</v>
      </c>
      <c r="B626" s="1" t="s">
        <v>375</v>
      </c>
      <c r="C626" s="1" t="s">
        <v>375</v>
      </c>
      <c r="D626" s="1" t="s">
        <v>374</v>
      </c>
      <c r="E626" s="2" t="s">
        <v>245</v>
      </c>
      <c r="F626" s="2">
        <v>67</v>
      </c>
      <c r="G626" s="2" t="s">
        <v>287</v>
      </c>
      <c r="H626" s="2">
        <v>115</v>
      </c>
      <c r="I626" s="2">
        <v>1362</v>
      </c>
      <c r="J626" s="12">
        <f t="shared" si="157"/>
        <v>1362</v>
      </c>
      <c r="K626" s="5">
        <f t="shared" si="158"/>
        <v>17676.833225178452</v>
      </c>
      <c r="L626" s="2">
        <v>1</v>
      </c>
      <c r="M626" s="37">
        <f t="shared" si="159"/>
        <v>1</v>
      </c>
      <c r="N626" s="2"/>
      <c r="O626" s="32"/>
      <c r="P626" s="32"/>
      <c r="Q626" s="2"/>
      <c r="R626" s="2"/>
      <c r="S626" s="2"/>
      <c r="T626" s="2"/>
      <c r="U626" s="37">
        <f t="shared" si="160"/>
        <v>1</v>
      </c>
      <c r="V626" s="34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</row>
    <row r="627" spans="1:86" ht="28.8">
      <c r="A627" s="35">
        <v>45920</v>
      </c>
      <c r="B627" s="1" t="s">
        <v>360</v>
      </c>
      <c r="C627" s="1" t="s">
        <v>360</v>
      </c>
      <c r="D627" s="1" t="s">
        <v>374</v>
      </c>
      <c r="E627" s="2" t="s">
        <v>245</v>
      </c>
      <c r="F627" s="2">
        <v>69</v>
      </c>
      <c r="G627" s="2" t="s">
        <v>287</v>
      </c>
      <c r="H627" s="2">
        <v>119</v>
      </c>
      <c r="I627" s="2">
        <v>1352</v>
      </c>
      <c r="J627" s="12">
        <f t="shared" si="157"/>
        <v>1352</v>
      </c>
      <c r="K627" s="5">
        <f t="shared" si="158"/>
        <v>16465.716721471195</v>
      </c>
      <c r="L627" s="2">
        <v>1</v>
      </c>
      <c r="M627" s="37">
        <f t="shared" si="159"/>
        <v>1</v>
      </c>
      <c r="N627" s="2"/>
      <c r="O627" s="32"/>
      <c r="P627" s="32"/>
      <c r="Q627" s="2"/>
      <c r="R627" s="2"/>
      <c r="S627" s="2"/>
      <c r="T627" s="2"/>
      <c r="U627" s="37">
        <f t="shared" si="160"/>
        <v>1</v>
      </c>
      <c r="V627" s="34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</row>
    <row r="628" spans="1:86" ht="28.8">
      <c r="A628" s="35">
        <v>45920</v>
      </c>
      <c r="B628" s="1" t="s">
        <v>376</v>
      </c>
      <c r="C628" s="1" t="s">
        <v>376</v>
      </c>
      <c r="D628" s="1" t="s">
        <v>374</v>
      </c>
      <c r="E628" s="2" t="s">
        <v>245</v>
      </c>
      <c r="F628" s="2">
        <v>62</v>
      </c>
      <c r="G628" s="2" t="s">
        <v>287</v>
      </c>
      <c r="H628" s="2">
        <v>108</v>
      </c>
      <c r="I628" s="2">
        <v>1004</v>
      </c>
      <c r="J628" s="12">
        <f t="shared" si="157"/>
        <v>1004</v>
      </c>
      <c r="K628" s="5">
        <f t="shared" si="158"/>
        <v>14994.026284348864</v>
      </c>
      <c r="L628" s="2">
        <v>1</v>
      </c>
      <c r="M628" s="37">
        <f t="shared" si="159"/>
        <v>1</v>
      </c>
      <c r="N628" s="2"/>
      <c r="O628" s="32"/>
      <c r="P628" s="32"/>
      <c r="Q628" s="2"/>
      <c r="R628" s="2"/>
      <c r="S628" s="2"/>
      <c r="T628" s="2"/>
      <c r="U628" s="37">
        <f t="shared" si="160"/>
        <v>1</v>
      </c>
      <c r="V628" s="34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</row>
    <row r="629" spans="1:86" ht="28.8">
      <c r="A629" s="35">
        <v>45920</v>
      </c>
      <c r="B629" s="1" t="s">
        <v>377</v>
      </c>
      <c r="C629" s="1" t="s">
        <v>377</v>
      </c>
      <c r="D629" s="1" t="s">
        <v>374</v>
      </c>
      <c r="E629" s="2" t="s">
        <v>245</v>
      </c>
      <c r="F629" s="2">
        <v>70</v>
      </c>
      <c r="G629" s="2" t="s">
        <v>287</v>
      </c>
      <c r="H629" s="2">
        <v>130</v>
      </c>
      <c r="I629" s="2">
        <v>1070</v>
      </c>
      <c r="J629" s="12">
        <f t="shared" si="157"/>
        <v>1070</v>
      </c>
      <c r="K629" s="5">
        <f t="shared" si="158"/>
        <v>11758.241758241757</v>
      </c>
      <c r="L629" s="2">
        <v>1</v>
      </c>
      <c r="M629" s="37">
        <f t="shared" si="159"/>
        <v>1</v>
      </c>
      <c r="N629" s="2"/>
      <c r="O629" s="32"/>
      <c r="P629" s="32"/>
      <c r="Q629" s="2"/>
      <c r="R629" s="2"/>
      <c r="S629" s="2"/>
      <c r="T629" s="2"/>
      <c r="U629" s="37">
        <f t="shared" si="160"/>
        <v>1</v>
      </c>
      <c r="V629" s="34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</row>
    <row r="630" spans="1:86" ht="28.8">
      <c r="A630" s="35">
        <v>45920</v>
      </c>
      <c r="B630" s="1" t="s">
        <v>378</v>
      </c>
      <c r="C630" s="1" t="s">
        <v>378</v>
      </c>
      <c r="D630" s="1" t="s">
        <v>374</v>
      </c>
      <c r="E630" s="2" t="s">
        <v>245</v>
      </c>
      <c r="F630" s="2">
        <v>64</v>
      </c>
      <c r="G630" s="2" t="s">
        <v>287</v>
      </c>
      <c r="H630" s="2">
        <v>115</v>
      </c>
      <c r="I630" s="2">
        <v>1196</v>
      </c>
      <c r="J630" s="12">
        <f t="shared" si="157"/>
        <v>1196</v>
      </c>
      <c r="K630" s="5">
        <f t="shared" si="158"/>
        <v>16249.999999999996</v>
      </c>
      <c r="L630" s="2">
        <v>1</v>
      </c>
      <c r="M630" s="37">
        <f t="shared" si="159"/>
        <v>1</v>
      </c>
      <c r="N630" s="2"/>
      <c r="O630" s="32"/>
      <c r="P630" s="32"/>
      <c r="Q630" s="2"/>
      <c r="R630" s="2"/>
      <c r="S630" s="2"/>
      <c r="T630" s="2"/>
      <c r="U630" s="37">
        <f t="shared" si="160"/>
        <v>1</v>
      </c>
      <c r="V630" s="34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</row>
    <row r="631" spans="1:86" ht="28.8">
      <c r="A631" s="35">
        <v>45920</v>
      </c>
      <c r="B631" s="1" t="s">
        <v>379</v>
      </c>
      <c r="C631" s="1" t="s">
        <v>379</v>
      </c>
      <c r="D631" s="1" t="s">
        <v>374</v>
      </c>
      <c r="E631" s="2" t="s">
        <v>245</v>
      </c>
      <c r="F631" s="2">
        <v>67</v>
      </c>
      <c r="G631" s="2" t="s">
        <v>287</v>
      </c>
      <c r="H631" s="2">
        <v>111</v>
      </c>
      <c r="I631" s="2">
        <v>832</v>
      </c>
      <c r="J631" s="12">
        <f t="shared" si="157"/>
        <v>832</v>
      </c>
      <c r="K631" s="5">
        <f t="shared" si="158"/>
        <v>11187.306709694769</v>
      </c>
      <c r="L631" s="2">
        <v>1</v>
      </c>
      <c r="M631" s="37">
        <f t="shared" si="159"/>
        <v>1</v>
      </c>
      <c r="N631" s="2"/>
      <c r="O631" s="32"/>
      <c r="P631" s="32"/>
      <c r="Q631" s="2"/>
      <c r="R631" s="2"/>
      <c r="S631" s="2"/>
      <c r="T631" s="2"/>
      <c r="U631" s="37">
        <f t="shared" si="160"/>
        <v>1</v>
      </c>
      <c r="V631" s="34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</row>
    <row r="632" spans="1:86" ht="28.8">
      <c r="A632" s="35">
        <v>45920</v>
      </c>
      <c r="B632" s="1"/>
      <c r="C632" s="1"/>
      <c r="D632" s="1" t="s">
        <v>374</v>
      </c>
      <c r="E632" s="2" t="s">
        <v>245</v>
      </c>
      <c r="F632" s="2">
        <v>40</v>
      </c>
      <c r="G632" s="2" t="s">
        <v>287</v>
      </c>
      <c r="H632" s="2">
        <v>120</v>
      </c>
      <c r="I632" s="2">
        <v>872</v>
      </c>
      <c r="J632" s="12">
        <f t="shared" si="157"/>
        <v>872</v>
      </c>
      <c r="K632" s="5">
        <f t="shared" si="158"/>
        <v>18166.666666666668</v>
      </c>
      <c r="L632" s="2">
        <v>1</v>
      </c>
      <c r="M632" s="37">
        <f t="shared" si="159"/>
        <v>1</v>
      </c>
      <c r="N632" s="2"/>
      <c r="O632" s="32"/>
      <c r="P632" s="32"/>
      <c r="Q632" s="2"/>
      <c r="R632" s="2"/>
      <c r="S632" s="2"/>
      <c r="T632" s="2"/>
      <c r="U632" s="37">
        <f t="shared" si="160"/>
        <v>1</v>
      </c>
      <c r="V632" s="34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</row>
    <row r="633" spans="1:86" ht="28.8">
      <c r="A633" s="35">
        <v>45920</v>
      </c>
      <c r="B633" s="1" t="s">
        <v>380</v>
      </c>
      <c r="C633" s="1" t="s">
        <v>380</v>
      </c>
      <c r="D633" s="1" t="s">
        <v>374</v>
      </c>
      <c r="E633" s="2" t="s">
        <v>245</v>
      </c>
      <c r="F633" s="2">
        <v>70</v>
      </c>
      <c r="G633" s="2" t="s">
        <v>287</v>
      </c>
      <c r="H633" s="2">
        <v>105</v>
      </c>
      <c r="I633" s="2">
        <v>952</v>
      </c>
      <c r="J633" s="12">
        <f t="shared" si="157"/>
        <v>952</v>
      </c>
      <c r="K633" s="5">
        <f t="shared" si="158"/>
        <v>12952.38095238095</v>
      </c>
      <c r="L633" s="2">
        <v>1</v>
      </c>
      <c r="M633" s="37">
        <f t="shared" si="159"/>
        <v>1</v>
      </c>
      <c r="N633" s="2"/>
      <c r="O633" s="32"/>
      <c r="P633" s="32"/>
      <c r="Q633" s="2"/>
      <c r="R633" s="2"/>
      <c r="S633" s="2"/>
      <c r="T633" s="2"/>
      <c r="U633" s="37">
        <f t="shared" si="160"/>
        <v>1</v>
      </c>
      <c r="V633" s="34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</row>
    <row r="634" spans="1:86" ht="28.8">
      <c r="A634" s="35">
        <v>45920</v>
      </c>
      <c r="B634" s="1"/>
      <c r="C634" s="1"/>
      <c r="D634" s="1" t="s">
        <v>374</v>
      </c>
      <c r="E634" s="2" t="s">
        <v>245</v>
      </c>
      <c r="F634" s="2">
        <v>60</v>
      </c>
      <c r="G634" s="2" t="s">
        <v>287</v>
      </c>
      <c r="H634" s="2">
        <v>115</v>
      </c>
      <c r="I634" s="2">
        <v>1080</v>
      </c>
      <c r="J634" s="12">
        <f t="shared" si="157"/>
        <v>1080</v>
      </c>
      <c r="K634" s="5">
        <f t="shared" si="158"/>
        <v>15652.173913043476</v>
      </c>
      <c r="L634" s="2">
        <v>1</v>
      </c>
      <c r="M634" s="37">
        <f t="shared" si="159"/>
        <v>1</v>
      </c>
      <c r="N634" s="2"/>
      <c r="O634" s="32"/>
      <c r="P634" s="32"/>
      <c r="Q634" s="2"/>
      <c r="R634" s="2"/>
      <c r="S634" s="2"/>
      <c r="T634" s="2"/>
      <c r="U634" s="37">
        <f t="shared" si="160"/>
        <v>1</v>
      </c>
      <c r="V634" s="34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</row>
    <row r="635" spans="1:86" ht="28.8">
      <c r="A635" s="35">
        <v>45920</v>
      </c>
      <c r="B635" s="1"/>
      <c r="C635" s="1"/>
      <c r="D635" s="1" t="s">
        <v>354</v>
      </c>
      <c r="E635" s="2" t="s">
        <v>245</v>
      </c>
      <c r="F635" s="2">
        <v>45</v>
      </c>
      <c r="G635" s="2" t="s">
        <v>287</v>
      </c>
      <c r="H635" s="2">
        <v>100</v>
      </c>
      <c r="I635" s="2">
        <v>820</v>
      </c>
      <c r="J635" s="12">
        <f t="shared" si="157"/>
        <v>820</v>
      </c>
      <c r="K635" s="5">
        <f t="shared" si="158"/>
        <v>18222.222222222219</v>
      </c>
      <c r="L635" s="2">
        <v>1</v>
      </c>
      <c r="M635" s="37">
        <f t="shared" si="159"/>
        <v>1</v>
      </c>
      <c r="N635" s="2"/>
      <c r="O635" s="32"/>
      <c r="P635" s="32"/>
      <c r="Q635" s="2"/>
      <c r="R635" s="2"/>
      <c r="S635" s="2"/>
      <c r="T635" s="2"/>
      <c r="U635" s="37">
        <f t="shared" si="160"/>
        <v>1</v>
      </c>
      <c r="V635" s="34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</row>
    <row r="636" spans="1:86" ht="28.8">
      <c r="A636" s="35">
        <v>45920</v>
      </c>
      <c r="B636" s="1"/>
      <c r="C636" s="1"/>
      <c r="D636" s="1" t="s">
        <v>374</v>
      </c>
      <c r="E636" s="2" t="s">
        <v>245</v>
      </c>
      <c r="F636" s="2">
        <v>70</v>
      </c>
      <c r="G636" s="2" t="s">
        <v>287</v>
      </c>
      <c r="H636" s="2">
        <v>103.5</v>
      </c>
      <c r="I636" s="2">
        <v>1270</v>
      </c>
      <c r="J636" s="12">
        <f t="shared" si="157"/>
        <v>1270</v>
      </c>
      <c r="K636" s="5">
        <f t="shared" si="158"/>
        <v>17529.330572808834</v>
      </c>
      <c r="L636" s="2">
        <v>1</v>
      </c>
      <c r="M636" s="37">
        <f t="shared" si="159"/>
        <v>1</v>
      </c>
      <c r="N636" s="2" t="s">
        <v>248</v>
      </c>
      <c r="O636" s="32">
        <f>J636</f>
        <v>1270</v>
      </c>
      <c r="P636" s="32"/>
      <c r="Q636" s="2"/>
      <c r="R636" s="2"/>
      <c r="S636" s="2"/>
      <c r="T636" s="2"/>
      <c r="U636" s="37">
        <f t="shared" si="160"/>
        <v>1</v>
      </c>
      <c r="V636" s="34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</row>
    <row r="637" spans="1:86" ht="28.8">
      <c r="A637" s="35">
        <v>45920</v>
      </c>
      <c r="B637" s="1"/>
      <c r="C637" s="1"/>
      <c r="D637" s="1" t="s">
        <v>374</v>
      </c>
      <c r="E637" s="2" t="s">
        <v>245</v>
      </c>
      <c r="F637" s="2">
        <v>70</v>
      </c>
      <c r="G637" s="2" t="s">
        <v>287</v>
      </c>
      <c r="H637" s="2">
        <v>108</v>
      </c>
      <c r="I637" s="2">
        <v>949</v>
      </c>
      <c r="J637" s="12">
        <f t="shared" si="157"/>
        <v>949</v>
      </c>
      <c r="K637" s="5">
        <f t="shared" si="158"/>
        <v>12552.910052910052</v>
      </c>
      <c r="L637" s="2">
        <v>1</v>
      </c>
      <c r="M637" s="37">
        <f t="shared" si="159"/>
        <v>1</v>
      </c>
      <c r="N637" s="2"/>
      <c r="O637" s="32"/>
      <c r="P637" s="32"/>
      <c r="Q637" s="2"/>
      <c r="R637" s="2"/>
      <c r="S637" s="2"/>
      <c r="T637" s="2"/>
      <c r="U637" s="37">
        <f t="shared" si="160"/>
        <v>1</v>
      </c>
      <c r="V637" s="34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</row>
    <row r="638" spans="1:86" ht="28.8">
      <c r="A638" s="35">
        <v>45920</v>
      </c>
      <c r="B638" s="1" t="s">
        <v>381</v>
      </c>
      <c r="C638" s="1" t="s">
        <v>381</v>
      </c>
      <c r="D638" s="1" t="s">
        <v>374</v>
      </c>
      <c r="E638" s="2" t="s">
        <v>245</v>
      </c>
      <c r="F638" s="2">
        <v>65</v>
      </c>
      <c r="G638" s="2" t="s">
        <v>247</v>
      </c>
      <c r="H638" s="2">
        <v>120</v>
      </c>
      <c r="I638" s="2">
        <v>888</v>
      </c>
      <c r="J638" s="12">
        <f t="shared" si="157"/>
        <v>888</v>
      </c>
      <c r="K638" s="5">
        <f t="shared" si="158"/>
        <v>11384.615384615385</v>
      </c>
      <c r="L638" s="2">
        <v>1</v>
      </c>
      <c r="M638" s="37">
        <f t="shared" si="159"/>
        <v>1</v>
      </c>
      <c r="N638" s="2"/>
      <c r="O638" s="32"/>
      <c r="P638" s="32"/>
      <c r="Q638" s="2"/>
      <c r="R638" s="2"/>
      <c r="S638" s="2"/>
      <c r="T638" s="2"/>
      <c r="U638" s="37">
        <f t="shared" si="160"/>
        <v>1</v>
      </c>
      <c r="V638" s="34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</row>
    <row r="639" spans="1:86" ht="28.8">
      <c r="A639" s="35">
        <v>45920</v>
      </c>
      <c r="B639" s="1" t="s">
        <v>382</v>
      </c>
      <c r="C639" s="1" t="s">
        <v>382</v>
      </c>
      <c r="D639" s="1" t="s">
        <v>374</v>
      </c>
      <c r="E639" s="2" t="s">
        <v>245</v>
      </c>
      <c r="F639" s="2">
        <v>70</v>
      </c>
      <c r="G639" s="2" t="s">
        <v>247</v>
      </c>
      <c r="H639" s="2">
        <v>130</v>
      </c>
      <c r="I639" s="2">
        <v>953</v>
      </c>
      <c r="J639" s="12">
        <f t="shared" si="157"/>
        <v>953</v>
      </c>
      <c r="K639" s="5">
        <f t="shared" si="158"/>
        <v>10472.52747252747</v>
      </c>
      <c r="L639" s="2">
        <v>1</v>
      </c>
      <c r="M639" s="37">
        <f t="shared" si="159"/>
        <v>1</v>
      </c>
      <c r="N639" s="2"/>
      <c r="O639" s="32"/>
      <c r="P639" s="32"/>
      <c r="Q639" s="2"/>
      <c r="R639" s="2"/>
      <c r="S639" s="2"/>
      <c r="T639" s="2"/>
      <c r="U639" s="37">
        <f t="shared" si="160"/>
        <v>1</v>
      </c>
      <c r="V639" s="34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</row>
    <row r="640" spans="1:86">
      <c r="A640" s="35">
        <v>45923</v>
      </c>
      <c r="B640" s="1" t="s">
        <v>383</v>
      </c>
      <c r="C640" s="1" t="s">
        <v>383</v>
      </c>
      <c r="D640" s="1"/>
      <c r="E640" s="2" t="s">
        <v>83</v>
      </c>
      <c r="F640" s="2">
        <v>100</v>
      </c>
      <c r="G640" s="2" t="s">
        <v>384</v>
      </c>
      <c r="H640" s="2">
        <v>90</v>
      </c>
      <c r="I640" s="2">
        <v>450</v>
      </c>
      <c r="J640" s="12">
        <f t="shared" si="157"/>
        <v>4500</v>
      </c>
      <c r="K640" s="5">
        <f t="shared" si="158"/>
        <v>49999.999999999993</v>
      </c>
      <c r="L640" s="2">
        <v>10</v>
      </c>
      <c r="M640" s="37">
        <f t="shared" si="159"/>
        <v>10</v>
      </c>
      <c r="N640" s="2"/>
      <c r="O640" s="32"/>
      <c r="P640" s="32"/>
      <c r="Q640" s="2"/>
      <c r="R640" s="2"/>
      <c r="S640" s="2"/>
      <c r="T640" s="2"/>
      <c r="U640" s="37">
        <f t="shared" si="160"/>
        <v>10</v>
      </c>
      <c r="V640" s="34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</row>
    <row r="641" spans="1:86">
      <c r="A641" s="35">
        <v>45923</v>
      </c>
      <c r="B641" s="1" t="s">
        <v>385</v>
      </c>
      <c r="C641" s="1" t="s">
        <v>385</v>
      </c>
      <c r="D641" s="1"/>
      <c r="E641" s="2" t="s">
        <v>83</v>
      </c>
      <c r="F641" s="2">
        <v>100</v>
      </c>
      <c r="G641" s="2" t="s">
        <v>384</v>
      </c>
      <c r="H641" s="2">
        <v>99</v>
      </c>
      <c r="I641" s="2">
        <v>495</v>
      </c>
      <c r="J641" s="12">
        <f t="shared" si="157"/>
        <v>2970</v>
      </c>
      <c r="K641" s="5">
        <f t="shared" si="158"/>
        <v>30000</v>
      </c>
      <c r="L641" s="2">
        <v>6</v>
      </c>
      <c r="M641" s="37">
        <f t="shared" si="159"/>
        <v>6</v>
      </c>
      <c r="N641" s="2"/>
      <c r="O641" s="32"/>
      <c r="P641" s="32"/>
      <c r="Q641" s="2"/>
      <c r="R641" s="2"/>
      <c r="S641" s="2"/>
      <c r="T641" s="2"/>
      <c r="U641" s="37">
        <f t="shared" si="160"/>
        <v>6</v>
      </c>
      <c r="V641" s="34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</row>
    <row r="642" spans="1:86">
      <c r="A642" s="35">
        <v>45923</v>
      </c>
      <c r="B642" s="1" t="s">
        <v>386</v>
      </c>
      <c r="C642" s="1" t="s">
        <v>386</v>
      </c>
      <c r="D642" s="1"/>
      <c r="E642" s="2" t="s">
        <v>83</v>
      </c>
      <c r="F642" s="2">
        <v>100</v>
      </c>
      <c r="G642" s="2" t="s">
        <v>384</v>
      </c>
      <c r="H642" s="2">
        <v>100</v>
      </c>
      <c r="I642" s="2">
        <v>500</v>
      </c>
      <c r="J642" s="12">
        <f t="shared" si="157"/>
        <v>4000</v>
      </c>
      <c r="K642" s="5">
        <f t="shared" si="158"/>
        <v>40000</v>
      </c>
      <c r="L642" s="2">
        <v>8</v>
      </c>
      <c r="M642" s="37">
        <f t="shared" si="159"/>
        <v>8</v>
      </c>
      <c r="N642" s="2"/>
      <c r="O642" s="32"/>
      <c r="P642" s="32"/>
      <c r="Q642" s="2"/>
      <c r="R642" s="2"/>
      <c r="S642" s="2"/>
      <c r="T642" s="2"/>
      <c r="U642" s="37">
        <f t="shared" si="160"/>
        <v>8</v>
      </c>
      <c r="V642" s="34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</row>
    <row r="643" spans="1:86">
      <c r="A643" s="35">
        <v>45923</v>
      </c>
      <c r="B643" s="1" t="s">
        <v>387</v>
      </c>
      <c r="C643" s="1" t="s">
        <v>387</v>
      </c>
      <c r="D643" s="1"/>
      <c r="E643" s="2" t="s">
        <v>83</v>
      </c>
      <c r="F643" s="2">
        <v>100</v>
      </c>
      <c r="G643" s="2" t="s">
        <v>384</v>
      </c>
      <c r="H643" s="2">
        <v>105</v>
      </c>
      <c r="I643" s="2">
        <v>525</v>
      </c>
      <c r="J643" s="12">
        <f t="shared" si="157"/>
        <v>1050</v>
      </c>
      <c r="K643" s="5">
        <f t="shared" si="158"/>
        <v>9999.9999999999982</v>
      </c>
      <c r="L643" s="2">
        <v>2</v>
      </c>
      <c r="M643" s="37">
        <f t="shared" si="159"/>
        <v>2</v>
      </c>
      <c r="N643" s="2"/>
      <c r="O643" s="32"/>
      <c r="P643" s="32"/>
      <c r="Q643" s="2"/>
      <c r="R643" s="2"/>
      <c r="S643" s="2"/>
      <c r="T643" s="2"/>
      <c r="U643" s="37">
        <f t="shared" si="160"/>
        <v>2</v>
      </c>
      <c r="V643" s="34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</row>
    <row r="644" spans="1:86">
      <c r="A644" s="35">
        <v>45923</v>
      </c>
      <c r="B644" s="1" t="s">
        <v>388</v>
      </c>
      <c r="C644" s="1" t="s">
        <v>388</v>
      </c>
      <c r="D644" s="1"/>
      <c r="E644" s="2" t="s">
        <v>83</v>
      </c>
      <c r="F644" s="2">
        <v>100</v>
      </c>
      <c r="G644" s="2" t="s">
        <v>384</v>
      </c>
      <c r="H644" s="2">
        <v>113</v>
      </c>
      <c r="I644" s="2">
        <v>565</v>
      </c>
      <c r="J644" s="12">
        <f t="shared" si="157"/>
        <v>2260</v>
      </c>
      <c r="K644" s="5">
        <f t="shared" si="158"/>
        <v>20000</v>
      </c>
      <c r="L644" s="2">
        <v>4</v>
      </c>
      <c r="M644" s="37">
        <f t="shared" si="159"/>
        <v>4</v>
      </c>
      <c r="N644" s="2"/>
      <c r="O644" s="32"/>
      <c r="P644" s="32"/>
      <c r="Q644" s="2"/>
      <c r="R644" s="2"/>
      <c r="S644" s="2"/>
      <c r="T644" s="2"/>
      <c r="U644" s="37">
        <f t="shared" si="160"/>
        <v>4</v>
      </c>
      <c r="V644" s="34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</row>
    <row r="645" spans="1:86">
      <c r="A645" s="35">
        <v>45923</v>
      </c>
      <c r="B645" s="1" t="s">
        <v>389</v>
      </c>
      <c r="C645" s="1" t="s">
        <v>389</v>
      </c>
      <c r="D645" s="1"/>
      <c r="E645" s="2" t="s">
        <v>83</v>
      </c>
      <c r="F645" s="2">
        <v>100</v>
      </c>
      <c r="G645" s="2" t="s">
        <v>384</v>
      </c>
      <c r="H645" s="2">
        <v>115</v>
      </c>
      <c r="I645" s="2">
        <v>575</v>
      </c>
      <c r="J645" s="12">
        <f t="shared" si="157"/>
        <v>1150</v>
      </c>
      <c r="K645" s="5">
        <f t="shared" si="158"/>
        <v>10000</v>
      </c>
      <c r="L645" s="2">
        <v>2</v>
      </c>
      <c r="M645" s="37">
        <f t="shared" si="159"/>
        <v>2</v>
      </c>
      <c r="N645" s="2"/>
      <c r="O645" s="32"/>
      <c r="P645" s="32"/>
      <c r="Q645" s="2"/>
      <c r="R645" s="2"/>
      <c r="S645" s="2"/>
      <c r="T645" s="2"/>
      <c r="U645" s="37">
        <f t="shared" si="160"/>
        <v>2</v>
      </c>
      <c r="V645" s="34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</row>
    <row r="646" spans="1:86">
      <c r="A646" s="35">
        <v>45923</v>
      </c>
      <c r="B646" s="1" t="s">
        <v>390</v>
      </c>
      <c r="C646" s="1" t="s">
        <v>390</v>
      </c>
      <c r="D646" s="1"/>
      <c r="E646" s="2" t="s">
        <v>83</v>
      </c>
      <c r="F646" s="2">
        <v>100</v>
      </c>
      <c r="G646" s="2" t="s">
        <v>384</v>
      </c>
      <c r="H646" s="2">
        <v>117</v>
      </c>
      <c r="I646" s="2">
        <v>585</v>
      </c>
      <c r="J646" s="12">
        <f t="shared" ref="J646:J671" si="161">IFERROR(IF(AND(V646=3,U646&gt;0),I646,I646*U646),"Verify")</f>
        <v>1170</v>
      </c>
      <c r="K646" s="5">
        <f t="shared" ref="K646:K671" si="162">+J646/(F646*H646*10^-5)</f>
        <v>10000</v>
      </c>
      <c r="L646" s="2">
        <v>2</v>
      </c>
      <c r="M646" s="37">
        <f t="shared" ref="M646:M671" si="163">+L646-X646-Z646-AD646-AB646-AF646-AH646-AJ646-AL646-AO646-AQ646-AS646-AU646-AW646-AY646-BA646-BC646-BE646-BG646-BI646-BK646-BM646-BO646-BQ646-BS646-BU646-BW646-BY646-CA646-CC646-CE646-CG646</f>
        <v>2</v>
      </c>
      <c r="N646" s="2"/>
      <c r="O646" s="32"/>
      <c r="P646" s="32"/>
      <c r="Q646" s="2"/>
      <c r="R646" s="2"/>
      <c r="S646" s="2"/>
      <c r="T646" s="2"/>
      <c r="U646" s="37">
        <f t="shared" ref="U646:U671" si="164">+L646-X646-Z646-AD646-AB646-AF646-AH646-AJ646-AL646-AO646-AQ646-AS646-AU646-AW646-AY646-BA646-BC646-BE646-BG646-BI646-BK646-BM646-BO646-BQ646-BS646-BU646-BW646-BY646-CA646-CC646-CE646-CG646</f>
        <v>2</v>
      </c>
      <c r="V646" s="34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</row>
    <row r="647" spans="1:86">
      <c r="A647" s="35">
        <v>45923</v>
      </c>
      <c r="B647" s="1" t="s">
        <v>391</v>
      </c>
      <c r="C647" s="1" t="s">
        <v>391</v>
      </c>
      <c r="D647" s="1"/>
      <c r="E647" s="2" t="s">
        <v>83</v>
      </c>
      <c r="F647" s="2">
        <v>100</v>
      </c>
      <c r="G647" s="2" t="s">
        <v>384</v>
      </c>
      <c r="H647" s="2">
        <v>121</v>
      </c>
      <c r="I647" s="2">
        <v>605</v>
      </c>
      <c r="J647" s="12">
        <f t="shared" si="161"/>
        <v>605</v>
      </c>
      <c r="K647" s="5">
        <f t="shared" si="162"/>
        <v>5000</v>
      </c>
      <c r="L647" s="2">
        <v>1</v>
      </c>
      <c r="M647" s="37">
        <f t="shared" si="163"/>
        <v>1</v>
      </c>
      <c r="N647" s="2"/>
      <c r="O647" s="32"/>
      <c r="P647" s="32"/>
      <c r="Q647" s="2"/>
      <c r="R647" s="2"/>
      <c r="S647" s="2"/>
      <c r="T647" s="2"/>
      <c r="U647" s="37">
        <f t="shared" si="164"/>
        <v>1</v>
      </c>
      <c r="V647" s="34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</row>
    <row r="648" spans="1:86">
      <c r="A648" s="35">
        <v>45923</v>
      </c>
      <c r="B648" s="1" t="s">
        <v>392</v>
      </c>
      <c r="C648" s="1" t="s">
        <v>392</v>
      </c>
      <c r="D648" s="1"/>
      <c r="E648" s="2" t="s">
        <v>83</v>
      </c>
      <c r="F648" s="2">
        <v>100</v>
      </c>
      <c r="G648" s="2" t="s">
        <v>384</v>
      </c>
      <c r="H648" s="2">
        <v>150</v>
      </c>
      <c r="I648" s="2">
        <v>750</v>
      </c>
      <c r="J648" s="12">
        <f t="shared" si="161"/>
        <v>1500</v>
      </c>
      <c r="K648" s="5">
        <f t="shared" si="162"/>
        <v>9999.9999999999982</v>
      </c>
      <c r="L648" s="2">
        <v>2</v>
      </c>
      <c r="M648" s="37">
        <f t="shared" si="163"/>
        <v>2</v>
      </c>
      <c r="N648" s="2"/>
      <c r="O648" s="32"/>
      <c r="P648" s="32"/>
      <c r="Q648" s="2"/>
      <c r="R648" s="2"/>
      <c r="S648" s="2"/>
      <c r="T648" s="2"/>
      <c r="U648" s="37">
        <f t="shared" si="164"/>
        <v>2</v>
      </c>
      <c r="V648" s="34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</row>
    <row r="649" spans="1:86">
      <c r="A649" s="35">
        <v>45923</v>
      </c>
      <c r="B649" s="1" t="s">
        <v>393</v>
      </c>
      <c r="C649" s="1" t="s">
        <v>393</v>
      </c>
      <c r="D649" s="1"/>
      <c r="E649" s="2" t="s">
        <v>83</v>
      </c>
      <c r="F649" s="2">
        <v>100</v>
      </c>
      <c r="G649" s="2" t="s">
        <v>384</v>
      </c>
      <c r="H649" s="2">
        <v>161</v>
      </c>
      <c r="I649" s="2">
        <v>805</v>
      </c>
      <c r="J649" s="12">
        <f t="shared" si="161"/>
        <v>805</v>
      </c>
      <c r="K649" s="5">
        <f t="shared" si="162"/>
        <v>5000</v>
      </c>
      <c r="L649" s="2">
        <v>1</v>
      </c>
      <c r="M649" s="37">
        <f t="shared" si="163"/>
        <v>1</v>
      </c>
      <c r="N649" s="2"/>
      <c r="O649" s="32"/>
      <c r="P649" s="32"/>
      <c r="Q649" s="2"/>
      <c r="R649" s="2"/>
      <c r="S649" s="2"/>
      <c r="T649" s="2"/>
      <c r="U649" s="37">
        <f t="shared" si="164"/>
        <v>1</v>
      </c>
      <c r="V649" s="34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</row>
    <row r="650" spans="1:86">
      <c r="A650" s="35">
        <v>45923</v>
      </c>
      <c r="B650" s="1" t="s">
        <v>394</v>
      </c>
      <c r="C650" s="1" t="s">
        <v>394</v>
      </c>
      <c r="D650" s="1"/>
      <c r="E650" s="2" t="s">
        <v>83</v>
      </c>
      <c r="F650" s="2">
        <v>100</v>
      </c>
      <c r="G650" s="2" t="s">
        <v>384</v>
      </c>
      <c r="H650" s="2">
        <v>212</v>
      </c>
      <c r="I650" s="2">
        <v>1060</v>
      </c>
      <c r="J650" s="12">
        <f t="shared" si="161"/>
        <v>1060</v>
      </c>
      <c r="K650" s="5">
        <f t="shared" si="162"/>
        <v>4999.9999999999991</v>
      </c>
      <c r="L650" s="2">
        <v>1</v>
      </c>
      <c r="M650" s="37">
        <f t="shared" si="163"/>
        <v>1</v>
      </c>
      <c r="N650" s="2"/>
      <c r="O650" s="32"/>
      <c r="P650" s="32"/>
      <c r="Q650" s="2"/>
      <c r="R650" s="2"/>
      <c r="S650" s="2"/>
      <c r="T650" s="2"/>
      <c r="U650" s="37">
        <f t="shared" si="164"/>
        <v>1</v>
      </c>
      <c r="V650" s="34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</row>
    <row r="651" spans="1:86">
      <c r="A651" s="35">
        <v>45923</v>
      </c>
      <c r="B651" s="1" t="s">
        <v>395</v>
      </c>
      <c r="C651" s="1" t="s">
        <v>395</v>
      </c>
      <c r="D651" s="1"/>
      <c r="E651" s="2" t="s">
        <v>83</v>
      </c>
      <c r="F651" s="2">
        <v>100</v>
      </c>
      <c r="G651" s="2" t="s">
        <v>384</v>
      </c>
      <c r="H651" s="2">
        <v>242</v>
      </c>
      <c r="I651" s="2">
        <v>1210</v>
      </c>
      <c r="J651" s="12">
        <f t="shared" si="161"/>
        <v>2420</v>
      </c>
      <c r="K651" s="5">
        <f t="shared" si="162"/>
        <v>10000</v>
      </c>
      <c r="L651" s="2">
        <v>2</v>
      </c>
      <c r="M651" s="37">
        <f t="shared" si="163"/>
        <v>2</v>
      </c>
      <c r="N651" s="2"/>
      <c r="O651" s="32"/>
      <c r="P651" s="32"/>
      <c r="Q651" s="2"/>
      <c r="R651" s="2"/>
      <c r="S651" s="2"/>
      <c r="T651" s="2"/>
      <c r="U651" s="37">
        <f t="shared" si="164"/>
        <v>2</v>
      </c>
      <c r="V651" s="34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</row>
    <row r="652" spans="1:86">
      <c r="A652" s="35">
        <v>45923</v>
      </c>
      <c r="B652" s="1" t="s">
        <v>396</v>
      </c>
      <c r="C652" s="1" t="s">
        <v>396</v>
      </c>
      <c r="D652" s="1"/>
      <c r="E652" s="2" t="s">
        <v>83</v>
      </c>
      <c r="F652" s="2">
        <v>120</v>
      </c>
      <c r="G652" s="2" t="s">
        <v>384</v>
      </c>
      <c r="H652" s="2">
        <v>100</v>
      </c>
      <c r="I652" s="2">
        <v>480</v>
      </c>
      <c r="J652" s="12">
        <f t="shared" si="161"/>
        <v>3360</v>
      </c>
      <c r="K652" s="5">
        <f t="shared" si="162"/>
        <v>27999.999999999996</v>
      </c>
      <c r="L652" s="2">
        <v>7</v>
      </c>
      <c r="M652" s="37">
        <f t="shared" si="163"/>
        <v>7</v>
      </c>
      <c r="N652" s="2"/>
      <c r="O652" s="32"/>
      <c r="P652" s="32"/>
      <c r="Q652" s="2"/>
      <c r="R652" s="2"/>
      <c r="S652" s="2"/>
      <c r="T652" s="2"/>
      <c r="U652" s="37">
        <f t="shared" si="164"/>
        <v>7</v>
      </c>
      <c r="V652" s="34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</row>
    <row r="653" spans="1:86">
      <c r="A653" s="35">
        <v>45923</v>
      </c>
      <c r="B653" s="1" t="s">
        <v>397</v>
      </c>
      <c r="C653" s="1" t="s">
        <v>397</v>
      </c>
      <c r="D653" s="1"/>
      <c r="E653" s="2" t="s">
        <v>83</v>
      </c>
      <c r="F653" s="2">
        <v>120</v>
      </c>
      <c r="G653" s="2" t="s">
        <v>384</v>
      </c>
      <c r="H653" s="2">
        <v>101</v>
      </c>
      <c r="I653" s="2">
        <v>485</v>
      </c>
      <c r="J653" s="12">
        <f t="shared" si="161"/>
        <v>4850</v>
      </c>
      <c r="K653" s="5">
        <f t="shared" si="162"/>
        <v>40016.50165016501</v>
      </c>
      <c r="L653" s="2">
        <v>10</v>
      </c>
      <c r="M653" s="37">
        <f t="shared" si="163"/>
        <v>10</v>
      </c>
      <c r="N653" s="2"/>
      <c r="O653" s="32"/>
      <c r="P653" s="32"/>
      <c r="Q653" s="2"/>
      <c r="R653" s="2"/>
      <c r="S653" s="2"/>
      <c r="T653" s="2"/>
      <c r="U653" s="37">
        <f t="shared" si="164"/>
        <v>10</v>
      </c>
      <c r="V653" s="34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</row>
    <row r="654" spans="1:86">
      <c r="A654" s="35">
        <v>45923</v>
      </c>
      <c r="B654" s="1" t="s">
        <v>398</v>
      </c>
      <c r="C654" s="1" t="s">
        <v>398</v>
      </c>
      <c r="D654" s="1"/>
      <c r="E654" s="2" t="s">
        <v>83</v>
      </c>
      <c r="F654" s="2">
        <v>120</v>
      </c>
      <c r="G654" s="2" t="s">
        <v>384</v>
      </c>
      <c r="H654" s="2">
        <v>115</v>
      </c>
      <c r="I654" s="2">
        <v>552</v>
      </c>
      <c r="J654" s="12">
        <f t="shared" si="161"/>
        <v>7728</v>
      </c>
      <c r="K654" s="5">
        <f t="shared" si="162"/>
        <v>55999.999999999993</v>
      </c>
      <c r="L654" s="2">
        <v>14</v>
      </c>
      <c r="M654" s="37">
        <f t="shared" si="163"/>
        <v>14</v>
      </c>
      <c r="N654" s="2"/>
      <c r="O654" s="32"/>
      <c r="P654" s="32"/>
      <c r="Q654" s="2"/>
      <c r="R654" s="2"/>
      <c r="S654" s="2"/>
      <c r="T654" s="2"/>
      <c r="U654" s="37">
        <f t="shared" si="164"/>
        <v>14</v>
      </c>
      <c r="V654" s="34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</row>
    <row r="655" spans="1:86">
      <c r="A655" s="35">
        <v>45923</v>
      </c>
      <c r="B655" s="1" t="s">
        <v>399</v>
      </c>
      <c r="C655" s="1" t="s">
        <v>399</v>
      </c>
      <c r="D655" s="1"/>
      <c r="E655" s="2" t="s">
        <v>83</v>
      </c>
      <c r="F655" s="2">
        <v>120</v>
      </c>
      <c r="G655" s="2" t="s">
        <v>384</v>
      </c>
      <c r="H655" s="2">
        <v>120</v>
      </c>
      <c r="I655" s="2">
        <v>576</v>
      </c>
      <c r="J655" s="12">
        <f t="shared" si="161"/>
        <v>8640</v>
      </c>
      <c r="K655" s="5">
        <f t="shared" si="162"/>
        <v>59999.999999999993</v>
      </c>
      <c r="L655" s="2">
        <v>15</v>
      </c>
      <c r="M655" s="37">
        <f t="shared" si="163"/>
        <v>15</v>
      </c>
      <c r="N655" s="2"/>
      <c r="O655" s="32"/>
      <c r="P655" s="32"/>
      <c r="Q655" s="2"/>
      <c r="R655" s="2"/>
      <c r="S655" s="2"/>
      <c r="T655" s="2"/>
      <c r="U655" s="37">
        <f t="shared" si="164"/>
        <v>15</v>
      </c>
      <c r="V655" s="34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</row>
    <row r="656" spans="1:86">
      <c r="A656" s="35">
        <v>45923</v>
      </c>
      <c r="B656" s="1" t="s">
        <v>400</v>
      </c>
      <c r="C656" s="1" t="s">
        <v>400</v>
      </c>
      <c r="D656" s="1"/>
      <c r="E656" s="2" t="s">
        <v>83</v>
      </c>
      <c r="F656" s="2">
        <v>120</v>
      </c>
      <c r="G656" s="2" t="s">
        <v>384</v>
      </c>
      <c r="H656" s="2">
        <v>193</v>
      </c>
      <c r="I656" s="2">
        <v>926</v>
      </c>
      <c r="J656" s="12">
        <f t="shared" si="161"/>
        <v>926</v>
      </c>
      <c r="K656" s="5">
        <f t="shared" si="162"/>
        <v>3998.2728842832466</v>
      </c>
      <c r="L656" s="2">
        <v>1</v>
      </c>
      <c r="M656" s="37">
        <f t="shared" si="163"/>
        <v>1</v>
      </c>
      <c r="N656" s="2"/>
      <c r="O656" s="32"/>
      <c r="P656" s="32"/>
      <c r="Q656" s="2"/>
      <c r="R656" s="2"/>
      <c r="S656" s="2"/>
      <c r="T656" s="2"/>
      <c r="U656" s="37">
        <f t="shared" si="164"/>
        <v>1</v>
      </c>
      <c r="V656" s="34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</row>
    <row r="657" spans="1:86">
      <c r="A657" s="35">
        <v>45923</v>
      </c>
      <c r="B657" s="1" t="s">
        <v>400</v>
      </c>
      <c r="C657" s="1" t="s">
        <v>400</v>
      </c>
      <c r="D657" s="1"/>
      <c r="E657" s="2" t="s">
        <v>83</v>
      </c>
      <c r="F657" s="2">
        <v>120</v>
      </c>
      <c r="G657" s="2" t="s">
        <v>384</v>
      </c>
      <c r="H657" s="2">
        <v>193</v>
      </c>
      <c r="I657" s="2">
        <v>926</v>
      </c>
      <c r="J657" s="12">
        <f t="shared" si="161"/>
        <v>1852</v>
      </c>
      <c r="K657" s="5">
        <f t="shared" si="162"/>
        <v>7996.5457685664933</v>
      </c>
      <c r="L657" s="2">
        <v>2</v>
      </c>
      <c r="M657" s="37">
        <f t="shared" si="163"/>
        <v>2</v>
      </c>
      <c r="N657" s="2"/>
      <c r="O657" s="32"/>
      <c r="P657" s="32"/>
      <c r="Q657" s="2"/>
      <c r="R657" s="2"/>
      <c r="S657" s="2"/>
      <c r="T657" s="2"/>
      <c r="U657" s="37">
        <f t="shared" si="164"/>
        <v>2</v>
      </c>
      <c r="V657" s="34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</row>
    <row r="658" spans="1:86" ht="28.8">
      <c r="A658" s="35">
        <v>45927</v>
      </c>
      <c r="B658" s="1" t="s">
        <v>401</v>
      </c>
      <c r="C658" s="1" t="s">
        <v>401</v>
      </c>
      <c r="D658" s="1" t="s">
        <v>354</v>
      </c>
      <c r="E658" s="2" t="s">
        <v>50</v>
      </c>
      <c r="F658" s="2">
        <v>100</v>
      </c>
      <c r="G658" s="2" t="s">
        <v>402</v>
      </c>
      <c r="H658" s="2">
        <v>90</v>
      </c>
      <c r="I658" s="2">
        <v>1003.27</v>
      </c>
      <c r="J658" s="12">
        <f t="shared" si="161"/>
        <v>41134.07</v>
      </c>
      <c r="K658" s="5">
        <f t="shared" si="162"/>
        <v>457045.22222222219</v>
      </c>
      <c r="L658" s="2">
        <v>41</v>
      </c>
      <c r="M658" s="37">
        <f t="shared" si="163"/>
        <v>41</v>
      </c>
      <c r="N658" s="2" t="s">
        <v>250</v>
      </c>
      <c r="O658" s="32">
        <f>J658</f>
        <v>41134.07</v>
      </c>
      <c r="P658" s="32"/>
      <c r="Q658" s="2"/>
      <c r="R658" s="2"/>
      <c r="S658" s="2"/>
      <c r="T658" s="2"/>
      <c r="U658" s="37">
        <f t="shared" si="164"/>
        <v>41</v>
      </c>
      <c r="V658" s="34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</row>
    <row r="659" spans="1:86" ht="28.8">
      <c r="A659" s="35">
        <v>45927</v>
      </c>
      <c r="B659" s="1" t="s">
        <v>403</v>
      </c>
      <c r="C659" s="1" t="s">
        <v>403</v>
      </c>
      <c r="D659" s="1" t="s">
        <v>354</v>
      </c>
      <c r="E659" s="2" t="s">
        <v>245</v>
      </c>
      <c r="F659" s="2">
        <v>70</v>
      </c>
      <c r="G659" s="2" t="s">
        <v>287</v>
      </c>
      <c r="H659" s="2">
        <v>107</v>
      </c>
      <c r="I659" s="2">
        <v>1244</v>
      </c>
      <c r="J659" s="12">
        <f t="shared" si="161"/>
        <v>1244</v>
      </c>
      <c r="K659" s="5">
        <f t="shared" si="162"/>
        <v>16608.811748998662</v>
      </c>
      <c r="L659" s="2">
        <v>1</v>
      </c>
      <c r="M659" s="37">
        <f t="shared" si="163"/>
        <v>1</v>
      </c>
      <c r="N659" s="2"/>
      <c r="O659" s="32"/>
      <c r="P659" s="32"/>
      <c r="Q659" s="2"/>
      <c r="R659" s="2"/>
      <c r="S659" s="2"/>
      <c r="T659" s="2"/>
      <c r="U659" s="37">
        <f t="shared" si="164"/>
        <v>1</v>
      </c>
      <c r="V659" s="34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</row>
    <row r="660" spans="1:86" ht="28.8">
      <c r="A660" s="35">
        <v>45927</v>
      </c>
      <c r="B660" s="1" t="s">
        <v>404</v>
      </c>
      <c r="C660" s="1" t="s">
        <v>404</v>
      </c>
      <c r="D660" s="1" t="s">
        <v>354</v>
      </c>
      <c r="E660" s="2" t="s">
        <v>245</v>
      </c>
      <c r="F660" s="2">
        <v>46</v>
      </c>
      <c r="G660" s="2" t="s">
        <v>287</v>
      </c>
      <c r="H660" s="2">
        <v>124.2</v>
      </c>
      <c r="I660" s="2">
        <v>1126</v>
      </c>
      <c r="J660" s="12">
        <f t="shared" si="161"/>
        <v>1126</v>
      </c>
      <c r="K660" s="5">
        <f t="shared" si="162"/>
        <v>19708.744661485682</v>
      </c>
      <c r="L660" s="2">
        <v>1</v>
      </c>
      <c r="M660" s="37">
        <f t="shared" si="163"/>
        <v>1</v>
      </c>
      <c r="N660" s="2"/>
      <c r="O660" s="32"/>
      <c r="P660" s="32"/>
      <c r="Q660" s="2"/>
      <c r="R660" s="2"/>
      <c r="S660" s="2"/>
      <c r="T660" s="2"/>
      <c r="U660" s="37">
        <f t="shared" si="164"/>
        <v>1</v>
      </c>
      <c r="V660" s="34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</row>
    <row r="661" spans="1:86" ht="28.8">
      <c r="A661" s="35">
        <v>45927</v>
      </c>
      <c r="B661" s="1" t="s">
        <v>405</v>
      </c>
      <c r="C661" s="1" t="s">
        <v>405</v>
      </c>
      <c r="D661" s="1" t="s">
        <v>354</v>
      </c>
      <c r="E661" s="2" t="s">
        <v>245</v>
      </c>
      <c r="F661" s="2">
        <v>64</v>
      </c>
      <c r="G661" s="2" t="s">
        <v>287</v>
      </c>
      <c r="H661" s="2">
        <v>125.5</v>
      </c>
      <c r="I661" s="2">
        <v>1148</v>
      </c>
      <c r="J661" s="12">
        <f t="shared" si="161"/>
        <v>1148</v>
      </c>
      <c r="K661" s="5">
        <f t="shared" si="162"/>
        <v>14292.828685258964</v>
      </c>
      <c r="L661" s="2">
        <v>1</v>
      </c>
      <c r="M661" s="37">
        <f t="shared" si="163"/>
        <v>1</v>
      </c>
      <c r="N661" s="2"/>
      <c r="O661" s="32"/>
      <c r="P661" s="32"/>
      <c r="Q661" s="2"/>
      <c r="R661" s="2"/>
      <c r="S661" s="2"/>
      <c r="T661" s="2"/>
      <c r="U661" s="37">
        <f t="shared" si="164"/>
        <v>1</v>
      </c>
      <c r="V661" s="34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</row>
    <row r="662" spans="1:86" ht="28.8">
      <c r="A662" s="35">
        <v>45927</v>
      </c>
      <c r="B662" s="1" t="s">
        <v>406</v>
      </c>
      <c r="C662" s="1" t="s">
        <v>406</v>
      </c>
      <c r="D662" s="1" t="s">
        <v>354</v>
      </c>
      <c r="E662" s="2" t="s">
        <v>245</v>
      </c>
      <c r="F662" s="2">
        <v>62</v>
      </c>
      <c r="G662" s="2" t="s">
        <v>287</v>
      </c>
      <c r="H662" s="2">
        <v>122</v>
      </c>
      <c r="I662" s="2">
        <v>894</v>
      </c>
      <c r="J662" s="12">
        <f t="shared" si="161"/>
        <v>894</v>
      </c>
      <c r="K662" s="5">
        <f t="shared" si="162"/>
        <v>11819.143310417767</v>
      </c>
      <c r="L662" s="2">
        <v>1</v>
      </c>
      <c r="M662" s="37">
        <f t="shared" si="163"/>
        <v>1</v>
      </c>
      <c r="N662" s="2"/>
      <c r="O662" s="32"/>
      <c r="P662" s="32"/>
      <c r="Q662" s="2"/>
      <c r="R662" s="2"/>
      <c r="S662" s="2"/>
      <c r="T662" s="2"/>
      <c r="U662" s="37">
        <f t="shared" si="164"/>
        <v>1</v>
      </c>
      <c r="V662" s="34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</row>
    <row r="663" spans="1:86" ht="28.8">
      <c r="A663" s="35">
        <v>45927</v>
      </c>
      <c r="B663" s="1" t="s">
        <v>407</v>
      </c>
      <c r="C663" s="1" t="s">
        <v>407</v>
      </c>
      <c r="D663" s="1" t="s">
        <v>354</v>
      </c>
      <c r="E663" s="2" t="s">
        <v>245</v>
      </c>
      <c r="F663" s="2">
        <v>68</v>
      </c>
      <c r="G663" s="2" t="s">
        <v>287</v>
      </c>
      <c r="H663" s="2">
        <v>115</v>
      </c>
      <c r="I663" s="2">
        <v>856</v>
      </c>
      <c r="J663" s="12">
        <f t="shared" si="161"/>
        <v>856</v>
      </c>
      <c r="K663" s="5">
        <f t="shared" si="162"/>
        <v>10946.291560102301</v>
      </c>
      <c r="L663" s="2">
        <v>1</v>
      </c>
      <c r="M663" s="37">
        <f t="shared" si="163"/>
        <v>1</v>
      </c>
      <c r="N663" s="2"/>
      <c r="O663" s="32"/>
      <c r="P663" s="32"/>
      <c r="Q663" s="2"/>
      <c r="R663" s="2"/>
      <c r="S663" s="2"/>
      <c r="T663" s="2"/>
      <c r="U663" s="37">
        <f t="shared" si="164"/>
        <v>1</v>
      </c>
      <c r="V663" s="34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</row>
    <row r="664" spans="1:86" ht="28.8">
      <c r="A664" s="35">
        <v>45927</v>
      </c>
      <c r="B664" s="1" t="s">
        <v>408</v>
      </c>
      <c r="C664" s="1" t="s">
        <v>408</v>
      </c>
      <c r="D664" s="1" t="s">
        <v>354</v>
      </c>
      <c r="E664" s="2" t="s">
        <v>245</v>
      </c>
      <c r="F664" s="2">
        <v>63</v>
      </c>
      <c r="G664" s="2" t="s">
        <v>287</v>
      </c>
      <c r="H664" s="2">
        <v>111</v>
      </c>
      <c r="I664" s="2">
        <v>1158</v>
      </c>
      <c r="J664" s="12">
        <f t="shared" si="161"/>
        <v>1158</v>
      </c>
      <c r="K664" s="5">
        <f t="shared" si="162"/>
        <v>16559.416559416557</v>
      </c>
      <c r="L664" s="2">
        <v>1</v>
      </c>
      <c r="M664" s="37">
        <f t="shared" si="163"/>
        <v>1</v>
      </c>
      <c r="N664" s="2"/>
      <c r="O664" s="32"/>
      <c r="P664" s="32"/>
      <c r="Q664" s="2"/>
      <c r="R664" s="2"/>
      <c r="S664" s="2"/>
      <c r="T664" s="2"/>
      <c r="U664" s="37">
        <f t="shared" si="164"/>
        <v>1</v>
      </c>
      <c r="V664" s="34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</row>
    <row r="665" spans="1:86" ht="28.8">
      <c r="A665" s="35">
        <v>45927</v>
      </c>
      <c r="B665" s="1"/>
      <c r="C665" s="1"/>
      <c r="D665" s="1" t="s">
        <v>354</v>
      </c>
      <c r="E665" s="2" t="s">
        <v>245</v>
      </c>
      <c r="F665" s="2">
        <v>65</v>
      </c>
      <c r="G665" s="2" t="s">
        <v>287</v>
      </c>
      <c r="H665" s="2">
        <v>101</v>
      </c>
      <c r="I665" s="2">
        <v>978</v>
      </c>
      <c r="J665" s="12">
        <f t="shared" si="161"/>
        <v>978</v>
      </c>
      <c r="K665" s="5">
        <f t="shared" si="162"/>
        <v>14897.182025894897</v>
      </c>
      <c r="L665" s="2">
        <v>1</v>
      </c>
      <c r="M665" s="37">
        <f t="shared" si="163"/>
        <v>1</v>
      </c>
      <c r="N665" s="2"/>
      <c r="O665" s="32"/>
      <c r="P665" s="32"/>
      <c r="Q665" s="2"/>
      <c r="R665" s="2"/>
      <c r="S665" s="2"/>
      <c r="T665" s="2"/>
      <c r="U665" s="37">
        <f t="shared" si="164"/>
        <v>1</v>
      </c>
      <c r="V665" s="34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</row>
    <row r="666" spans="1:86" ht="28.8">
      <c r="A666" s="35">
        <v>45927</v>
      </c>
      <c r="B666" s="1" t="s">
        <v>409</v>
      </c>
      <c r="C666" s="1" t="s">
        <v>409</v>
      </c>
      <c r="D666" s="1" t="s">
        <v>354</v>
      </c>
      <c r="E666" s="2" t="s">
        <v>245</v>
      </c>
      <c r="F666" s="2">
        <v>65</v>
      </c>
      <c r="G666" s="2" t="s">
        <v>287</v>
      </c>
      <c r="H666" s="2">
        <v>104</v>
      </c>
      <c r="I666" s="2">
        <v>818</v>
      </c>
      <c r="J666" s="12">
        <f t="shared" si="161"/>
        <v>818</v>
      </c>
      <c r="K666" s="5">
        <f t="shared" si="162"/>
        <v>12100.59171597633</v>
      </c>
      <c r="L666" s="2">
        <v>1</v>
      </c>
      <c r="M666" s="37">
        <f t="shared" si="163"/>
        <v>1</v>
      </c>
      <c r="N666" s="2"/>
      <c r="O666" s="32"/>
      <c r="P666" s="32"/>
      <c r="Q666" s="2"/>
      <c r="R666" s="2"/>
      <c r="S666" s="2"/>
      <c r="T666" s="2"/>
      <c r="U666" s="37">
        <f t="shared" si="164"/>
        <v>1</v>
      </c>
      <c r="V666" s="34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</row>
    <row r="667" spans="1:86" ht="28.8">
      <c r="A667" s="35">
        <v>45927</v>
      </c>
      <c r="B667" s="1" t="s">
        <v>410</v>
      </c>
      <c r="C667" s="1" t="s">
        <v>410</v>
      </c>
      <c r="D667" s="1" t="s">
        <v>354</v>
      </c>
      <c r="E667" s="2" t="s">
        <v>245</v>
      </c>
      <c r="F667" s="2">
        <v>65</v>
      </c>
      <c r="G667" s="2" t="s">
        <v>287</v>
      </c>
      <c r="H667" s="2">
        <v>105</v>
      </c>
      <c r="I667" s="2">
        <v>586</v>
      </c>
      <c r="J667" s="12">
        <f t="shared" si="161"/>
        <v>586</v>
      </c>
      <c r="K667" s="5">
        <f t="shared" si="162"/>
        <v>8586.0805860805849</v>
      </c>
      <c r="L667" s="2">
        <v>1</v>
      </c>
      <c r="M667" s="37">
        <f t="shared" si="163"/>
        <v>1</v>
      </c>
      <c r="N667" s="2"/>
      <c r="O667" s="32"/>
      <c r="P667" s="32"/>
      <c r="Q667" s="2"/>
      <c r="R667" s="2"/>
      <c r="S667" s="2"/>
      <c r="T667" s="2"/>
      <c r="U667" s="37">
        <f t="shared" si="164"/>
        <v>1</v>
      </c>
      <c r="V667" s="34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</row>
    <row r="668" spans="1:86" ht="28.8">
      <c r="A668" s="35">
        <v>45927</v>
      </c>
      <c r="B668" s="1" t="s">
        <v>411</v>
      </c>
      <c r="C668" s="1" t="s">
        <v>411</v>
      </c>
      <c r="D668" s="1" t="s">
        <v>354</v>
      </c>
      <c r="E668" s="2" t="s">
        <v>245</v>
      </c>
      <c r="F668" s="2">
        <v>55</v>
      </c>
      <c r="G668" s="2" t="s">
        <v>287</v>
      </c>
      <c r="H668" s="2">
        <v>123</v>
      </c>
      <c r="I668" s="2">
        <v>689</v>
      </c>
      <c r="J668" s="12">
        <f t="shared" si="161"/>
        <v>689</v>
      </c>
      <c r="K668" s="5">
        <f t="shared" si="162"/>
        <v>10184.774575018477</v>
      </c>
      <c r="L668" s="2">
        <v>1</v>
      </c>
      <c r="M668" s="37">
        <f t="shared" si="163"/>
        <v>1</v>
      </c>
      <c r="N668" s="2"/>
      <c r="O668" s="32"/>
      <c r="P668" s="32"/>
      <c r="Q668" s="2"/>
      <c r="R668" s="2"/>
      <c r="S668" s="2"/>
      <c r="T668" s="2"/>
      <c r="U668" s="37">
        <f t="shared" si="164"/>
        <v>1</v>
      </c>
      <c r="V668" s="34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</row>
    <row r="669" spans="1:86" ht="28.8">
      <c r="A669" s="35">
        <v>45927</v>
      </c>
      <c r="B669" s="1" t="s">
        <v>409</v>
      </c>
      <c r="C669" s="1" t="s">
        <v>409</v>
      </c>
      <c r="D669" s="1" t="s">
        <v>354</v>
      </c>
      <c r="E669" s="2" t="s">
        <v>245</v>
      </c>
      <c r="F669" s="2">
        <v>65</v>
      </c>
      <c r="G669" s="2" t="s">
        <v>287</v>
      </c>
      <c r="H669" s="2">
        <v>104</v>
      </c>
      <c r="I669" s="2">
        <v>1174</v>
      </c>
      <c r="J669" s="12">
        <f t="shared" si="161"/>
        <v>1174</v>
      </c>
      <c r="K669" s="5">
        <f t="shared" si="162"/>
        <v>17366.863905325441</v>
      </c>
      <c r="L669" s="2">
        <v>1</v>
      </c>
      <c r="M669" s="37">
        <f t="shared" si="163"/>
        <v>1</v>
      </c>
      <c r="N669" s="2"/>
      <c r="O669" s="32"/>
      <c r="P669" s="32"/>
      <c r="Q669" s="2"/>
      <c r="R669" s="2"/>
      <c r="S669" s="2"/>
      <c r="T669" s="2"/>
      <c r="U669" s="37">
        <f t="shared" si="164"/>
        <v>1</v>
      </c>
      <c r="V669" s="34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</row>
    <row r="670" spans="1:86" ht="28.8">
      <c r="A670" s="35">
        <v>45927</v>
      </c>
      <c r="B670" s="1" t="s">
        <v>363</v>
      </c>
      <c r="C670" s="1" t="s">
        <v>363</v>
      </c>
      <c r="D670" s="1" t="s">
        <v>354</v>
      </c>
      <c r="E670" s="2" t="s">
        <v>245</v>
      </c>
      <c r="F670" s="2">
        <v>60</v>
      </c>
      <c r="G670" s="2" t="s">
        <v>247</v>
      </c>
      <c r="H670" s="2">
        <v>107</v>
      </c>
      <c r="I670" s="2">
        <v>365</v>
      </c>
      <c r="J670" s="12">
        <f t="shared" si="161"/>
        <v>365</v>
      </c>
      <c r="K670" s="5">
        <f t="shared" si="162"/>
        <v>5685.3582554517125</v>
      </c>
      <c r="L670" s="2">
        <v>1</v>
      </c>
      <c r="M670" s="37">
        <f t="shared" si="163"/>
        <v>1</v>
      </c>
      <c r="N670" s="2"/>
      <c r="O670" s="32"/>
      <c r="P670" s="32"/>
      <c r="Q670" s="2"/>
      <c r="R670" s="2"/>
      <c r="S670" s="2"/>
      <c r="T670" s="2"/>
      <c r="U670" s="37">
        <f t="shared" si="164"/>
        <v>1</v>
      </c>
      <c r="V670" s="34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</row>
    <row r="671" spans="1:86" ht="28.8">
      <c r="A671" s="35">
        <v>45927</v>
      </c>
      <c r="B671" s="1" t="s">
        <v>412</v>
      </c>
      <c r="C671" s="1" t="s">
        <v>412</v>
      </c>
      <c r="D671" s="1" t="s">
        <v>354</v>
      </c>
      <c r="E671" s="2" t="s">
        <v>245</v>
      </c>
      <c r="F671" s="2">
        <v>60</v>
      </c>
      <c r="G671" s="2" t="s">
        <v>247</v>
      </c>
      <c r="H671" s="2">
        <v>103</v>
      </c>
      <c r="I671" s="2">
        <v>355</v>
      </c>
      <c r="J671" s="12">
        <f t="shared" si="161"/>
        <v>355</v>
      </c>
      <c r="K671" s="5">
        <f t="shared" si="162"/>
        <v>5744.3365695792872</v>
      </c>
      <c r="L671" s="2">
        <v>1</v>
      </c>
      <c r="M671" s="37">
        <f t="shared" si="163"/>
        <v>1</v>
      </c>
      <c r="N671" s="2"/>
      <c r="O671" s="32"/>
      <c r="P671" s="32"/>
      <c r="Q671" s="2"/>
      <c r="R671" s="2"/>
      <c r="S671" s="2"/>
      <c r="T671" s="2"/>
      <c r="U671" s="37">
        <f t="shared" si="164"/>
        <v>1</v>
      </c>
      <c r="V671" s="34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</row>
    <row r="672" spans="1:86" ht="28.8">
      <c r="A672" s="35">
        <v>45927</v>
      </c>
      <c r="B672" s="1" t="s">
        <v>413</v>
      </c>
      <c r="C672" s="1" t="s">
        <v>413</v>
      </c>
      <c r="D672" s="1" t="s">
        <v>354</v>
      </c>
      <c r="E672" s="2" t="s">
        <v>245</v>
      </c>
      <c r="F672" s="2">
        <v>50</v>
      </c>
      <c r="G672" s="2" t="s">
        <v>247</v>
      </c>
      <c r="H672" s="2">
        <v>121</v>
      </c>
      <c r="I672" s="2">
        <v>1103</v>
      </c>
      <c r="J672" s="12">
        <f t="shared" ref="J672:J682" si="165">IFERROR(IF(AND(V672=3,U672&gt;0),I672,I672*U672),"Verify")</f>
        <v>1103</v>
      </c>
      <c r="K672" s="5">
        <f t="shared" ref="K672:K682" si="166">+J672/(F672*H672*10^-5)</f>
        <v>18231.404958677685</v>
      </c>
      <c r="L672" s="2">
        <v>1</v>
      </c>
      <c r="M672" s="37">
        <f t="shared" ref="M672:M681" si="167">+L672-X672-Z672-AD672-AB672-AF672-AH672-AJ672-AL672-AO672-AQ672-AS672-AU672-AW672-AY672-BA672-BC672-BE672-BG672-BI672-BK672-BM672-BO672-BQ672-BS672-BU672-BW672-BY672-CA672-CC672-CE672-CG672</f>
        <v>1</v>
      </c>
      <c r="N672" s="2"/>
      <c r="O672" s="32"/>
      <c r="P672" s="32"/>
      <c r="Q672" s="2"/>
      <c r="R672" s="2"/>
      <c r="S672" s="2"/>
      <c r="T672" s="2"/>
      <c r="U672" s="37">
        <f t="shared" ref="U672:U682" si="168">+L672-X672-Z672-AD672-AB672-AF672-AH672-AJ672-AL672-AO672-AQ672-AS672-AU672-AW672-AY672-BA672-BC672-BE672-BG672-BI672-BK672-BM672-BO672-BQ672-BS672-BU672-BW672-BY672-CA672-CC672-CE672-CG672</f>
        <v>1</v>
      </c>
      <c r="V672" s="34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</row>
    <row r="673" spans="1:86" ht="28.8">
      <c r="A673" s="35">
        <v>45927</v>
      </c>
      <c r="B673" s="1" t="s">
        <v>414</v>
      </c>
      <c r="C673" s="1" t="s">
        <v>414</v>
      </c>
      <c r="D673" s="1" t="s">
        <v>354</v>
      </c>
      <c r="E673" s="2" t="s">
        <v>245</v>
      </c>
      <c r="F673" s="2">
        <v>55</v>
      </c>
      <c r="G673" s="2" t="s">
        <v>247</v>
      </c>
      <c r="H673" s="2">
        <v>107</v>
      </c>
      <c r="I673" s="2">
        <v>820</v>
      </c>
      <c r="J673" s="12">
        <f t="shared" si="165"/>
        <v>820</v>
      </c>
      <c r="K673" s="5">
        <f t="shared" si="166"/>
        <v>13933.729821580288</v>
      </c>
      <c r="L673" s="2">
        <v>1</v>
      </c>
      <c r="M673" s="37">
        <f t="shared" si="167"/>
        <v>1</v>
      </c>
      <c r="N673" s="2"/>
      <c r="O673" s="32"/>
      <c r="P673" s="32"/>
      <c r="Q673" s="2"/>
      <c r="R673" s="2"/>
      <c r="S673" s="2"/>
      <c r="T673" s="2"/>
      <c r="U673" s="37">
        <f t="shared" si="168"/>
        <v>1</v>
      </c>
      <c r="V673" s="34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</row>
    <row r="674" spans="1:86" ht="28.8">
      <c r="A674" s="35">
        <v>45927</v>
      </c>
      <c r="B674" s="1" t="s">
        <v>415</v>
      </c>
      <c r="C674" s="1" t="s">
        <v>415</v>
      </c>
      <c r="D674" s="1" t="s">
        <v>354</v>
      </c>
      <c r="E674" s="2" t="s">
        <v>245</v>
      </c>
      <c r="F674" s="2">
        <v>55</v>
      </c>
      <c r="G674" s="2" t="s">
        <v>247</v>
      </c>
      <c r="H674" s="2">
        <v>119</v>
      </c>
      <c r="I674" s="2">
        <v>462</v>
      </c>
      <c r="J674" s="12">
        <f t="shared" si="165"/>
        <v>462</v>
      </c>
      <c r="K674" s="5">
        <f t="shared" si="166"/>
        <v>7058.823529411764</v>
      </c>
      <c r="L674" s="2">
        <v>1</v>
      </c>
      <c r="M674" s="37">
        <f t="shared" si="167"/>
        <v>1</v>
      </c>
      <c r="N674" s="2"/>
      <c r="O674" s="32"/>
      <c r="P674" s="32"/>
      <c r="Q674" s="2"/>
      <c r="R674" s="2"/>
      <c r="S674" s="2"/>
      <c r="T674" s="2"/>
      <c r="U674" s="37">
        <f t="shared" si="168"/>
        <v>1</v>
      </c>
      <c r="V674" s="34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</row>
    <row r="675" spans="1:86" ht="28.8">
      <c r="A675" s="35">
        <v>45927</v>
      </c>
      <c r="B675" s="1" t="s">
        <v>416</v>
      </c>
      <c r="C675" s="1" t="s">
        <v>416</v>
      </c>
      <c r="D675" s="1" t="s">
        <v>354</v>
      </c>
      <c r="E675" s="2" t="s">
        <v>245</v>
      </c>
      <c r="F675" s="2">
        <v>50</v>
      </c>
      <c r="G675" s="2" t="s">
        <v>247</v>
      </c>
      <c r="H675" s="2">
        <v>97</v>
      </c>
      <c r="I675" s="2">
        <v>931</v>
      </c>
      <c r="J675" s="12">
        <f t="shared" si="165"/>
        <v>931</v>
      </c>
      <c r="K675" s="5">
        <f t="shared" si="166"/>
        <v>19195.876288659794</v>
      </c>
      <c r="L675" s="2">
        <v>1</v>
      </c>
      <c r="M675" s="37">
        <f t="shared" si="167"/>
        <v>1</v>
      </c>
      <c r="N675" s="2"/>
      <c r="O675" s="32"/>
      <c r="P675" s="32"/>
      <c r="Q675" s="2"/>
      <c r="R675" s="2"/>
      <c r="S675" s="2"/>
      <c r="T675" s="2"/>
      <c r="U675" s="37">
        <f t="shared" si="168"/>
        <v>1</v>
      </c>
      <c r="V675" s="34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</row>
    <row r="676" spans="1:86" ht="28.8">
      <c r="A676" s="35">
        <v>45927</v>
      </c>
      <c r="B676" s="1" t="s">
        <v>417</v>
      </c>
      <c r="C676" s="1" t="s">
        <v>417</v>
      </c>
      <c r="D676" s="1" t="s">
        <v>354</v>
      </c>
      <c r="E676" s="2" t="s">
        <v>245</v>
      </c>
      <c r="F676" s="2">
        <v>50</v>
      </c>
      <c r="G676" s="2" t="s">
        <v>247</v>
      </c>
      <c r="H676" s="2">
        <v>113</v>
      </c>
      <c r="I676" s="2">
        <v>1023</v>
      </c>
      <c r="J676" s="12">
        <f t="shared" si="165"/>
        <v>1023</v>
      </c>
      <c r="K676" s="5">
        <f t="shared" si="166"/>
        <v>18106.194690265485</v>
      </c>
      <c r="L676" s="2">
        <v>1</v>
      </c>
      <c r="M676" s="37">
        <f t="shared" si="167"/>
        <v>1</v>
      </c>
      <c r="N676" s="2"/>
      <c r="O676" s="32"/>
      <c r="P676" s="32"/>
      <c r="Q676" s="2"/>
      <c r="R676" s="2"/>
      <c r="S676" s="2"/>
      <c r="T676" s="2"/>
      <c r="U676" s="37">
        <f t="shared" si="168"/>
        <v>1</v>
      </c>
      <c r="V676" s="34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</row>
    <row r="677" spans="1:86" ht="28.8">
      <c r="A677" s="35">
        <v>45927</v>
      </c>
      <c r="B677" s="1" t="s">
        <v>418</v>
      </c>
      <c r="C677" s="1" t="s">
        <v>249</v>
      </c>
      <c r="D677" s="1" t="s">
        <v>354</v>
      </c>
      <c r="E677" s="2" t="s">
        <v>245</v>
      </c>
      <c r="F677" s="2">
        <v>55</v>
      </c>
      <c r="G677" s="2" t="s">
        <v>247</v>
      </c>
      <c r="H677" s="2">
        <v>104</v>
      </c>
      <c r="I677" s="2">
        <v>789</v>
      </c>
      <c r="J677" s="12">
        <f t="shared" si="165"/>
        <v>789</v>
      </c>
      <c r="K677" s="5">
        <f t="shared" si="166"/>
        <v>13793.706293706291</v>
      </c>
      <c r="L677" s="2">
        <v>1</v>
      </c>
      <c r="M677" s="37">
        <f t="shared" si="167"/>
        <v>1</v>
      </c>
      <c r="N677" s="2"/>
      <c r="O677" s="32"/>
      <c r="P677" s="32"/>
      <c r="Q677" s="2"/>
      <c r="R677" s="2"/>
      <c r="S677" s="2"/>
      <c r="T677" s="2"/>
      <c r="U677" s="37">
        <f t="shared" si="168"/>
        <v>1</v>
      </c>
      <c r="V677" s="34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</row>
    <row r="678" spans="1:86" ht="28.8">
      <c r="A678" s="35">
        <v>45927</v>
      </c>
      <c r="B678" s="1" t="s">
        <v>419</v>
      </c>
      <c r="C678" s="1" t="s">
        <v>419</v>
      </c>
      <c r="D678" s="1" t="s">
        <v>354</v>
      </c>
      <c r="E678" s="2" t="s">
        <v>245</v>
      </c>
      <c r="F678" s="2">
        <v>70</v>
      </c>
      <c r="G678" s="2" t="s">
        <v>247</v>
      </c>
      <c r="H678" s="2">
        <v>103</v>
      </c>
      <c r="I678" s="2">
        <v>833</v>
      </c>
      <c r="J678" s="12">
        <f t="shared" si="165"/>
        <v>833</v>
      </c>
      <c r="K678" s="5">
        <f t="shared" si="166"/>
        <v>11553.398058252425</v>
      </c>
      <c r="L678" s="2">
        <v>1</v>
      </c>
      <c r="M678" s="37">
        <f t="shared" si="167"/>
        <v>1</v>
      </c>
      <c r="N678" s="2" t="s">
        <v>248</v>
      </c>
      <c r="O678" s="32">
        <f>J678</f>
        <v>833</v>
      </c>
      <c r="P678" s="32"/>
      <c r="Q678" s="2"/>
      <c r="R678" s="2"/>
      <c r="S678" s="2"/>
      <c r="T678" s="2"/>
      <c r="U678" s="37">
        <f t="shared" si="168"/>
        <v>1</v>
      </c>
      <c r="V678" s="34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</row>
    <row r="679" spans="1:86" ht="28.8">
      <c r="A679" s="35">
        <v>45927</v>
      </c>
      <c r="B679" s="1" t="s">
        <v>420</v>
      </c>
      <c r="C679" s="1" t="s">
        <v>420</v>
      </c>
      <c r="D679" s="1" t="s">
        <v>354</v>
      </c>
      <c r="E679" s="2" t="s">
        <v>245</v>
      </c>
      <c r="F679" s="2">
        <v>70</v>
      </c>
      <c r="G679" s="2" t="s">
        <v>247</v>
      </c>
      <c r="H679" s="2">
        <v>106</v>
      </c>
      <c r="I679" s="2">
        <v>882</v>
      </c>
      <c r="J679" s="12">
        <f t="shared" si="165"/>
        <v>882</v>
      </c>
      <c r="K679" s="5">
        <f t="shared" si="166"/>
        <v>11886.792452830188</v>
      </c>
      <c r="L679" s="2">
        <v>1</v>
      </c>
      <c r="M679" s="37">
        <f t="shared" si="167"/>
        <v>1</v>
      </c>
      <c r="N679" s="2"/>
      <c r="O679" s="32"/>
      <c r="P679" s="32"/>
      <c r="Q679" s="2"/>
      <c r="R679" s="2"/>
      <c r="S679" s="2"/>
      <c r="T679" s="2"/>
      <c r="U679" s="37">
        <f t="shared" si="168"/>
        <v>1</v>
      </c>
      <c r="V679" s="34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</row>
    <row r="680" spans="1:86" ht="28.8">
      <c r="A680" s="35">
        <v>45927</v>
      </c>
      <c r="B680" s="1" t="s">
        <v>421</v>
      </c>
      <c r="C680" s="1" t="s">
        <v>421</v>
      </c>
      <c r="D680" s="1" t="s">
        <v>354</v>
      </c>
      <c r="E680" s="2" t="s">
        <v>245</v>
      </c>
      <c r="F680" s="2">
        <v>55</v>
      </c>
      <c r="G680" s="2" t="s">
        <v>247</v>
      </c>
      <c r="H680" s="2">
        <v>122</v>
      </c>
      <c r="I680" s="2">
        <v>693</v>
      </c>
      <c r="J680" s="12">
        <f t="shared" si="165"/>
        <v>693</v>
      </c>
      <c r="K680" s="5">
        <f t="shared" si="166"/>
        <v>10327.868852459016</v>
      </c>
      <c r="L680" s="2">
        <v>1</v>
      </c>
      <c r="M680" s="37">
        <f t="shared" si="167"/>
        <v>1</v>
      </c>
      <c r="N680" s="2"/>
      <c r="O680" s="32"/>
      <c r="P680" s="32"/>
      <c r="Q680" s="2"/>
      <c r="R680" s="2"/>
      <c r="S680" s="2"/>
      <c r="T680" s="2"/>
      <c r="U680" s="37">
        <f t="shared" si="168"/>
        <v>1</v>
      </c>
      <c r="V680" s="34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</row>
    <row r="681" spans="1:86" ht="28.8">
      <c r="A681" s="35">
        <v>45927</v>
      </c>
      <c r="B681" s="1"/>
      <c r="C681" s="1"/>
      <c r="D681" s="1" t="s">
        <v>354</v>
      </c>
      <c r="E681" s="2" t="s">
        <v>245</v>
      </c>
      <c r="F681" s="2">
        <v>60</v>
      </c>
      <c r="G681" s="2" t="s">
        <v>287</v>
      </c>
      <c r="H681" s="2">
        <v>106</v>
      </c>
      <c r="I681" s="2">
        <v>1030</v>
      </c>
      <c r="J681" s="12">
        <f t="shared" si="165"/>
        <v>1030</v>
      </c>
      <c r="K681" s="5">
        <f t="shared" si="166"/>
        <v>16194.968553459119</v>
      </c>
      <c r="L681" s="2">
        <v>1</v>
      </c>
      <c r="M681" s="37">
        <f t="shared" si="167"/>
        <v>1</v>
      </c>
      <c r="N681" s="2"/>
      <c r="O681" s="32"/>
      <c r="P681" s="32"/>
      <c r="Q681" s="2"/>
      <c r="R681" s="2"/>
      <c r="S681" s="2"/>
      <c r="T681" s="2"/>
      <c r="U681" s="37">
        <f t="shared" si="168"/>
        <v>1</v>
      </c>
      <c r="V681" s="34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</row>
    <row r="682" spans="1:86" ht="28.8">
      <c r="A682" s="35">
        <v>45927</v>
      </c>
      <c r="B682" s="1"/>
      <c r="C682" s="1"/>
      <c r="D682" s="1" t="s">
        <v>354</v>
      </c>
      <c r="E682" s="2" t="s">
        <v>245</v>
      </c>
      <c r="F682" s="2">
        <v>70</v>
      </c>
      <c r="G682" s="2" t="s">
        <v>287</v>
      </c>
      <c r="H682" s="2">
        <v>131.5</v>
      </c>
      <c r="I682" s="2">
        <v>920.5</v>
      </c>
      <c r="J682" s="12">
        <f t="shared" si="165"/>
        <v>920.5</v>
      </c>
      <c r="K682" s="5">
        <f t="shared" si="166"/>
        <v>10000</v>
      </c>
      <c r="L682" s="2">
        <v>1</v>
      </c>
      <c r="M682" s="37">
        <f t="shared" ref="M682:M705" si="169">+L682-X682-Z682-AD682-AB682-AF682-AH682-AJ682-AL682-AO682-AQ682-AS682-AU682-AW682-AY682-BA682-BC682-BE682-BG682-BI682-BK682-BM682-BO682-BQ682-BS682-BU682-BW682-BY682-CA682-CC682-CE682-CG682</f>
        <v>1</v>
      </c>
      <c r="N682" s="2"/>
      <c r="O682" s="32"/>
      <c r="P682" s="32"/>
      <c r="Q682" s="2"/>
      <c r="R682" s="2"/>
      <c r="S682" s="2"/>
      <c r="T682" s="2"/>
      <c r="U682" s="37">
        <f t="shared" si="168"/>
        <v>1</v>
      </c>
      <c r="V682" s="34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</row>
    <row r="683" spans="1:86" ht="28.8">
      <c r="A683" s="35">
        <v>45929</v>
      </c>
      <c r="B683" s="1" t="s">
        <v>401</v>
      </c>
      <c r="C683" s="1" t="s">
        <v>401</v>
      </c>
      <c r="D683" s="1" t="s">
        <v>354</v>
      </c>
      <c r="E683" s="2" t="s">
        <v>50</v>
      </c>
      <c r="F683" s="2">
        <v>100</v>
      </c>
      <c r="G683" s="2" t="s">
        <v>402</v>
      </c>
      <c r="H683" s="2">
        <v>90</v>
      </c>
      <c r="I683" s="2">
        <v>1003.27</v>
      </c>
      <c r="J683" s="12">
        <f t="shared" ref="J683:J692" si="170">IFERROR(IF(AND(V683=3,U683&gt;0),I683,I683*U683),"Verify")</f>
        <v>20065.400000000001</v>
      </c>
      <c r="K683" s="5">
        <f t="shared" ref="K683:K692" si="171">+J683/(F683*H683*10^-5)</f>
        <v>222948.88888888888</v>
      </c>
      <c r="L683" s="2">
        <v>20</v>
      </c>
      <c r="M683" s="37">
        <f t="shared" si="169"/>
        <v>20</v>
      </c>
      <c r="N683" s="2" t="s">
        <v>250</v>
      </c>
      <c r="O683" s="32">
        <f>30846+27546-O658</f>
        <v>17257.93</v>
      </c>
      <c r="P683" s="32"/>
      <c r="Q683" s="2"/>
      <c r="R683" s="2"/>
      <c r="S683" s="2"/>
      <c r="T683" s="2"/>
      <c r="U683" s="37">
        <f t="shared" ref="U683:U705" si="172">+L683-X683-Z683-AD683-AB683-AF683-AH683-AJ683-AL683-AO683-AQ683-AS683-AU683-AW683-AY683-BA683-BC683-BE683-BG683-BI683-BK683-BM683-BO683-BQ683-BS683-BU683-BW683-BY683-CA683-CC683-CE683-CG683</f>
        <v>20</v>
      </c>
      <c r="V683" s="34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</row>
    <row r="684" spans="1:86" ht="28.8">
      <c r="A684" s="35">
        <v>45930</v>
      </c>
      <c r="B684" s="1"/>
      <c r="C684" s="1"/>
      <c r="D684" s="1" t="s">
        <v>354</v>
      </c>
      <c r="E684" s="2" t="s">
        <v>245</v>
      </c>
      <c r="F684" s="2">
        <v>90</v>
      </c>
      <c r="G684" s="2" t="s">
        <v>287</v>
      </c>
      <c r="H684" s="2">
        <v>32.5</v>
      </c>
      <c r="I684" s="2">
        <v>359</v>
      </c>
      <c r="J684" s="12">
        <f t="shared" si="170"/>
        <v>359</v>
      </c>
      <c r="K684" s="5">
        <f t="shared" si="171"/>
        <v>12273.504273504273</v>
      </c>
      <c r="L684" s="2">
        <v>1</v>
      </c>
      <c r="M684" s="37">
        <f t="shared" si="169"/>
        <v>1</v>
      </c>
      <c r="N684" s="2"/>
      <c r="O684" s="32"/>
      <c r="P684" s="32"/>
      <c r="Q684" s="2"/>
      <c r="R684" s="2"/>
      <c r="S684" s="2"/>
      <c r="T684" s="2"/>
      <c r="U684" s="37">
        <f t="shared" si="172"/>
        <v>1</v>
      </c>
      <c r="V684" s="34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</row>
    <row r="685" spans="1:86" ht="28.8">
      <c r="A685" s="35">
        <v>45930</v>
      </c>
      <c r="B685" s="1"/>
      <c r="C685" s="1"/>
      <c r="D685" s="1" t="s">
        <v>354</v>
      </c>
      <c r="E685" s="2" t="s">
        <v>245</v>
      </c>
      <c r="F685" s="2">
        <v>90</v>
      </c>
      <c r="G685" s="2" t="s">
        <v>287</v>
      </c>
      <c r="H685" s="2">
        <v>31</v>
      </c>
      <c r="I685" s="2">
        <v>359</v>
      </c>
      <c r="J685" s="12">
        <f t="shared" si="170"/>
        <v>359</v>
      </c>
      <c r="K685" s="5">
        <f t="shared" si="171"/>
        <v>12867.383512544802</v>
      </c>
      <c r="L685" s="2">
        <v>1</v>
      </c>
      <c r="M685" s="37">
        <f t="shared" si="169"/>
        <v>1</v>
      </c>
      <c r="N685" s="2"/>
      <c r="O685" s="32"/>
      <c r="P685" s="32"/>
      <c r="Q685" s="2"/>
      <c r="R685" s="2"/>
      <c r="S685" s="2"/>
      <c r="T685" s="2"/>
      <c r="U685" s="37">
        <f t="shared" si="172"/>
        <v>1</v>
      </c>
      <c r="V685" s="34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</row>
    <row r="686" spans="1:86" ht="28.8">
      <c r="A686" s="35">
        <v>45930</v>
      </c>
      <c r="B686" s="1" t="s">
        <v>422</v>
      </c>
      <c r="C686" s="1" t="s">
        <v>422</v>
      </c>
      <c r="D686" s="1" t="s">
        <v>354</v>
      </c>
      <c r="E686" s="2" t="s">
        <v>245</v>
      </c>
      <c r="F686" s="2">
        <v>90</v>
      </c>
      <c r="G686" s="2" t="s">
        <v>287</v>
      </c>
      <c r="H686" s="2">
        <v>32</v>
      </c>
      <c r="I686" s="2">
        <v>359</v>
      </c>
      <c r="J686" s="12">
        <f t="shared" si="170"/>
        <v>359</v>
      </c>
      <c r="K686" s="5">
        <f t="shared" si="171"/>
        <v>12465.277777777777</v>
      </c>
      <c r="L686" s="2">
        <v>1</v>
      </c>
      <c r="M686" s="37">
        <f t="shared" si="169"/>
        <v>1</v>
      </c>
      <c r="N686" s="2"/>
      <c r="O686" s="32"/>
      <c r="P686" s="32"/>
      <c r="Q686" s="2"/>
      <c r="R686" s="2"/>
      <c r="S686" s="2"/>
      <c r="T686" s="2"/>
      <c r="U686" s="37">
        <f t="shared" si="172"/>
        <v>1</v>
      </c>
      <c r="V686" s="34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</row>
    <row r="687" spans="1:86" ht="28.8">
      <c r="A687" s="35">
        <v>45930</v>
      </c>
      <c r="B687" s="1"/>
      <c r="C687" s="1"/>
      <c r="D687" s="1" t="s">
        <v>354</v>
      </c>
      <c r="E687" s="2" t="s">
        <v>245</v>
      </c>
      <c r="F687" s="2">
        <v>90</v>
      </c>
      <c r="G687" s="2" t="s">
        <v>287</v>
      </c>
      <c r="H687" s="2">
        <v>32.5</v>
      </c>
      <c r="I687" s="2">
        <v>359</v>
      </c>
      <c r="J687" s="12">
        <f t="shared" si="170"/>
        <v>359</v>
      </c>
      <c r="K687" s="5">
        <f t="shared" si="171"/>
        <v>12273.504273504273</v>
      </c>
      <c r="L687" s="2">
        <v>1</v>
      </c>
      <c r="M687" s="37">
        <f t="shared" si="169"/>
        <v>1</v>
      </c>
      <c r="N687" s="2"/>
      <c r="O687" s="32"/>
      <c r="P687" s="32"/>
      <c r="Q687" s="2"/>
      <c r="R687" s="2"/>
      <c r="S687" s="2"/>
      <c r="T687" s="2"/>
      <c r="U687" s="37">
        <f t="shared" si="172"/>
        <v>1</v>
      </c>
      <c r="V687" s="34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</row>
    <row r="688" spans="1:86" ht="28.8">
      <c r="A688" s="35">
        <v>45930</v>
      </c>
      <c r="B688" s="1" t="s">
        <v>423</v>
      </c>
      <c r="C688" s="1" t="s">
        <v>423</v>
      </c>
      <c r="D688" s="1" t="s">
        <v>354</v>
      </c>
      <c r="E688" s="2" t="s">
        <v>245</v>
      </c>
      <c r="F688" s="2">
        <v>90</v>
      </c>
      <c r="G688" s="2" t="s">
        <v>287</v>
      </c>
      <c r="H688" s="2">
        <v>34</v>
      </c>
      <c r="I688" s="2">
        <v>359</v>
      </c>
      <c r="J688" s="12">
        <f t="shared" si="170"/>
        <v>359</v>
      </c>
      <c r="K688" s="5">
        <f t="shared" si="171"/>
        <v>11732.026143790848</v>
      </c>
      <c r="L688" s="2">
        <v>1</v>
      </c>
      <c r="M688" s="37">
        <f t="shared" si="169"/>
        <v>1</v>
      </c>
      <c r="N688" s="2"/>
      <c r="O688" s="32"/>
      <c r="P688" s="32"/>
      <c r="Q688" s="2"/>
      <c r="R688" s="2"/>
      <c r="S688" s="2"/>
      <c r="T688" s="2"/>
      <c r="U688" s="37">
        <f t="shared" si="172"/>
        <v>1</v>
      </c>
      <c r="V688" s="34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</row>
    <row r="689" spans="1:86" ht="28.8">
      <c r="A689" s="35">
        <v>45930</v>
      </c>
      <c r="B689" s="1"/>
      <c r="C689" s="1"/>
      <c r="D689" s="1" t="s">
        <v>354</v>
      </c>
      <c r="E689" s="2" t="s">
        <v>245</v>
      </c>
      <c r="F689" s="2">
        <v>75</v>
      </c>
      <c r="G689" s="2" t="s">
        <v>287</v>
      </c>
      <c r="H689" s="2">
        <v>113</v>
      </c>
      <c r="I689" s="2">
        <v>802</v>
      </c>
      <c r="J689" s="12">
        <f t="shared" si="170"/>
        <v>802</v>
      </c>
      <c r="K689" s="5">
        <f t="shared" si="171"/>
        <v>9463.1268436578157</v>
      </c>
      <c r="L689" s="2">
        <v>1</v>
      </c>
      <c r="M689" s="37">
        <f t="shared" si="169"/>
        <v>1</v>
      </c>
      <c r="N689" s="2"/>
      <c r="O689" s="32"/>
      <c r="P689" s="32"/>
      <c r="Q689" s="2"/>
      <c r="R689" s="2"/>
      <c r="S689" s="2"/>
      <c r="T689" s="2"/>
      <c r="U689" s="37">
        <f t="shared" si="172"/>
        <v>1</v>
      </c>
      <c r="V689" s="34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</row>
    <row r="690" spans="1:86" ht="28.8">
      <c r="A690" s="35">
        <v>45930</v>
      </c>
      <c r="B690" s="1" t="s">
        <v>424</v>
      </c>
      <c r="C690" s="1" t="s">
        <v>424</v>
      </c>
      <c r="D690" s="1" t="s">
        <v>354</v>
      </c>
      <c r="E690" s="2" t="s">
        <v>29</v>
      </c>
      <c r="F690" s="2">
        <v>80</v>
      </c>
      <c r="G690" s="2" t="s">
        <v>115</v>
      </c>
      <c r="H690" s="2">
        <v>100</v>
      </c>
      <c r="I690" s="2">
        <v>800</v>
      </c>
      <c r="J690" s="12">
        <f t="shared" si="170"/>
        <v>4800</v>
      </c>
      <c r="K690" s="5">
        <f t="shared" si="171"/>
        <v>60000</v>
      </c>
      <c r="L690" s="2">
        <v>6</v>
      </c>
      <c r="M690" s="37">
        <f t="shared" si="169"/>
        <v>6</v>
      </c>
      <c r="N690" s="2"/>
      <c r="O690" s="32"/>
      <c r="P690" s="32"/>
      <c r="Q690" s="2"/>
      <c r="R690" s="2"/>
      <c r="S690" s="2"/>
      <c r="T690" s="2"/>
      <c r="U690" s="37">
        <f t="shared" si="172"/>
        <v>6</v>
      </c>
      <c r="V690" s="34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</row>
    <row r="691" spans="1:86" ht="28.8">
      <c r="A691" s="35">
        <v>45930</v>
      </c>
      <c r="B691" s="1" t="s">
        <v>425</v>
      </c>
      <c r="C691" s="1" t="s">
        <v>425</v>
      </c>
      <c r="D691" s="1" t="s">
        <v>354</v>
      </c>
      <c r="E691" s="2" t="s">
        <v>293</v>
      </c>
      <c r="F691" s="2">
        <v>152</v>
      </c>
      <c r="G691" s="2" t="s">
        <v>294</v>
      </c>
      <c r="H691" s="2">
        <v>151.9</v>
      </c>
      <c r="I691" s="2">
        <v>2256.3000000000002</v>
      </c>
      <c r="J691" s="12">
        <f t="shared" si="170"/>
        <v>2256.3000000000002</v>
      </c>
      <c r="K691" s="5">
        <f t="shared" si="171"/>
        <v>9772.2705380963926</v>
      </c>
      <c r="L691" s="2">
        <v>1</v>
      </c>
      <c r="M691" s="37">
        <f t="shared" si="169"/>
        <v>1</v>
      </c>
      <c r="N691" s="2"/>
      <c r="O691" s="32"/>
      <c r="P691" s="32"/>
      <c r="Q691" s="2"/>
      <c r="R691" s="2"/>
      <c r="S691" s="2"/>
      <c r="T691" s="2"/>
      <c r="U691" s="37">
        <f t="shared" si="172"/>
        <v>1</v>
      </c>
      <c r="V691" s="34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</row>
    <row r="692" spans="1:86" ht="28.8">
      <c r="A692" s="35">
        <v>45930</v>
      </c>
      <c r="B692" s="1" t="s">
        <v>329</v>
      </c>
      <c r="C692" s="1" t="s">
        <v>329</v>
      </c>
      <c r="D692" s="1" t="s">
        <v>354</v>
      </c>
      <c r="E692" s="2" t="s">
        <v>37</v>
      </c>
      <c r="F692" s="2">
        <v>400</v>
      </c>
      <c r="G692" s="2" t="s">
        <v>301</v>
      </c>
      <c r="H692" s="2">
        <v>84</v>
      </c>
      <c r="I692" s="2">
        <f>1977/3</f>
        <v>659</v>
      </c>
      <c r="J692" s="12">
        <f t="shared" si="170"/>
        <v>3954</v>
      </c>
      <c r="K692" s="5">
        <f t="shared" si="171"/>
        <v>11767.857142857141</v>
      </c>
      <c r="L692" s="2">
        <v>6</v>
      </c>
      <c r="M692" s="37">
        <f t="shared" si="169"/>
        <v>6</v>
      </c>
      <c r="N692" s="2"/>
      <c r="O692" s="32"/>
      <c r="P692" s="32"/>
      <c r="Q692" s="2"/>
      <c r="R692" s="2"/>
      <c r="S692" s="2"/>
      <c r="T692" s="2"/>
      <c r="U692" s="37">
        <f t="shared" si="172"/>
        <v>6</v>
      </c>
      <c r="V692" s="34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</row>
    <row r="693" spans="1:86" ht="28.8">
      <c r="A693" s="35">
        <v>45932</v>
      </c>
      <c r="B693" s="1" t="s">
        <v>426</v>
      </c>
      <c r="C693" s="1" t="s">
        <v>426</v>
      </c>
      <c r="D693" s="1" t="s">
        <v>354</v>
      </c>
      <c r="E693" s="2" t="s">
        <v>245</v>
      </c>
      <c r="F693" s="2">
        <v>95</v>
      </c>
      <c r="G693" s="2" t="s">
        <v>287</v>
      </c>
      <c r="H693" s="2">
        <v>33</v>
      </c>
      <c r="I693" s="2">
        <v>320</v>
      </c>
      <c r="J693" s="12">
        <f t="shared" ref="J693:J705" si="173">IFERROR(IF(AND(V693=3,U693&gt;0),I693,I693*U693),"Verify")</f>
        <v>320</v>
      </c>
      <c r="K693" s="5">
        <f t="shared" ref="K693:K705" si="174">+J693/(F693*H693*10^-5)</f>
        <v>10207.336523125996</v>
      </c>
      <c r="L693" s="2">
        <v>1</v>
      </c>
      <c r="M693" s="37">
        <f t="shared" si="169"/>
        <v>1</v>
      </c>
      <c r="N693" s="2"/>
      <c r="O693" s="32"/>
      <c r="P693" s="32"/>
      <c r="Q693" s="2"/>
      <c r="R693" s="2"/>
      <c r="S693" s="2"/>
      <c r="T693" s="2"/>
      <c r="U693" s="37">
        <f t="shared" si="172"/>
        <v>1</v>
      </c>
      <c r="V693" s="34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</row>
    <row r="694" spans="1:86" ht="28.8">
      <c r="A694" s="35">
        <v>45932</v>
      </c>
      <c r="B694" s="1" t="s">
        <v>427</v>
      </c>
      <c r="C694" s="1" t="s">
        <v>427</v>
      </c>
      <c r="D694" s="1" t="s">
        <v>354</v>
      </c>
      <c r="E694" s="2" t="s">
        <v>245</v>
      </c>
      <c r="F694" s="2">
        <v>95</v>
      </c>
      <c r="G694" s="2" t="s">
        <v>287</v>
      </c>
      <c r="H694" s="2">
        <v>35</v>
      </c>
      <c r="I694" s="2">
        <v>375</v>
      </c>
      <c r="J694" s="12">
        <f t="shared" si="173"/>
        <v>375</v>
      </c>
      <c r="K694" s="5">
        <f t="shared" si="174"/>
        <v>11278.195488721803</v>
      </c>
      <c r="L694" s="2">
        <v>1</v>
      </c>
      <c r="M694" s="37">
        <f t="shared" si="169"/>
        <v>1</v>
      </c>
      <c r="N694" s="2"/>
      <c r="O694" s="32"/>
      <c r="P694" s="32"/>
      <c r="Q694" s="2"/>
      <c r="R694" s="2"/>
      <c r="S694" s="2"/>
      <c r="T694" s="2"/>
      <c r="U694" s="37">
        <f t="shared" si="172"/>
        <v>1</v>
      </c>
      <c r="V694" s="34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</row>
    <row r="695" spans="1:86" ht="28.8">
      <c r="A695" s="35">
        <v>45932</v>
      </c>
      <c r="B695" s="1" t="s">
        <v>428</v>
      </c>
      <c r="C695" s="1" t="s">
        <v>428</v>
      </c>
      <c r="D695" s="1" t="s">
        <v>354</v>
      </c>
      <c r="E695" s="2" t="s">
        <v>245</v>
      </c>
      <c r="F695" s="2">
        <v>175</v>
      </c>
      <c r="G695" s="2" t="s">
        <v>287</v>
      </c>
      <c r="H695" s="2">
        <v>113</v>
      </c>
      <c r="I695" s="2">
        <v>832</v>
      </c>
      <c r="J695" s="12">
        <f t="shared" si="173"/>
        <v>832</v>
      </c>
      <c r="K695" s="5">
        <f t="shared" si="174"/>
        <v>4207.3324905183308</v>
      </c>
      <c r="L695" s="2">
        <v>1</v>
      </c>
      <c r="M695" s="37">
        <f t="shared" si="169"/>
        <v>1</v>
      </c>
      <c r="N695" s="2"/>
      <c r="O695" s="32"/>
      <c r="P695" s="32"/>
      <c r="Q695" s="2"/>
      <c r="R695" s="2"/>
      <c r="S695" s="2"/>
      <c r="T695" s="2"/>
      <c r="U695" s="37">
        <f t="shared" si="172"/>
        <v>1</v>
      </c>
      <c r="V695" s="34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</row>
    <row r="696" spans="1:86" ht="28.8">
      <c r="A696" s="35">
        <v>45932</v>
      </c>
      <c r="B696" s="1" t="s">
        <v>429</v>
      </c>
      <c r="C696" s="1" t="s">
        <v>429</v>
      </c>
      <c r="D696" s="1" t="s">
        <v>354</v>
      </c>
      <c r="E696" s="2" t="s">
        <v>245</v>
      </c>
      <c r="F696" s="2">
        <v>160</v>
      </c>
      <c r="G696" s="2" t="s">
        <v>287</v>
      </c>
      <c r="H696" s="2">
        <v>102</v>
      </c>
      <c r="I696" s="2">
        <v>678</v>
      </c>
      <c r="J696" s="12">
        <f t="shared" si="173"/>
        <v>678</v>
      </c>
      <c r="K696" s="5">
        <f t="shared" si="174"/>
        <v>4154.411764705882</v>
      </c>
      <c r="L696" s="2">
        <v>1</v>
      </c>
      <c r="M696" s="37">
        <f t="shared" si="169"/>
        <v>1</v>
      </c>
      <c r="N696" s="2"/>
      <c r="O696" s="32"/>
      <c r="P696" s="32"/>
      <c r="Q696" s="2"/>
      <c r="R696" s="2"/>
      <c r="S696" s="2"/>
      <c r="T696" s="2"/>
      <c r="U696" s="37">
        <f t="shared" si="172"/>
        <v>1</v>
      </c>
      <c r="V696" s="34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</row>
    <row r="697" spans="1:86" ht="28.8">
      <c r="A697" s="35">
        <v>45932</v>
      </c>
      <c r="B697" s="1" t="s">
        <v>309</v>
      </c>
      <c r="C697" s="1" t="s">
        <v>309</v>
      </c>
      <c r="D697" s="1" t="s">
        <v>354</v>
      </c>
      <c r="E697" s="2" t="s">
        <v>245</v>
      </c>
      <c r="F697" s="2">
        <v>90</v>
      </c>
      <c r="G697" s="2" t="s">
        <v>287</v>
      </c>
      <c r="H697" s="2">
        <v>33</v>
      </c>
      <c r="I697" s="2">
        <v>382</v>
      </c>
      <c r="J697" s="12">
        <f t="shared" si="173"/>
        <v>382</v>
      </c>
      <c r="K697" s="5">
        <f t="shared" si="174"/>
        <v>12861.952861952861</v>
      </c>
      <c r="L697" s="2">
        <v>1</v>
      </c>
      <c r="M697" s="37">
        <f t="shared" si="169"/>
        <v>1</v>
      </c>
      <c r="N697" s="2"/>
      <c r="O697" s="32"/>
      <c r="P697" s="32"/>
      <c r="Q697" s="2"/>
      <c r="R697" s="2"/>
      <c r="S697" s="2"/>
      <c r="T697" s="2"/>
      <c r="U697" s="37">
        <f t="shared" si="172"/>
        <v>1</v>
      </c>
      <c r="V697" s="34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</row>
    <row r="698" spans="1:86" ht="28.8">
      <c r="A698" s="35">
        <v>45932</v>
      </c>
      <c r="B698" s="1" t="s">
        <v>309</v>
      </c>
      <c r="C698" s="1" t="s">
        <v>309</v>
      </c>
      <c r="D698" s="1" t="s">
        <v>354</v>
      </c>
      <c r="E698" s="2" t="s">
        <v>245</v>
      </c>
      <c r="F698" s="2">
        <v>90</v>
      </c>
      <c r="G698" s="2" t="s">
        <v>287</v>
      </c>
      <c r="H698" s="2">
        <v>33</v>
      </c>
      <c r="I698" s="2">
        <v>382</v>
      </c>
      <c r="J698" s="12">
        <f t="shared" si="173"/>
        <v>382</v>
      </c>
      <c r="K698" s="5">
        <f t="shared" si="174"/>
        <v>12861.952861952861</v>
      </c>
      <c r="L698" s="2">
        <v>1</v>
      </c>
      <c r="M698" s="37">
        <f t="shared" si="169"/>
        <v>1</v>
      </c>
      <c r="N698" s="2"/>
      <c r="O698" s="32"/>
      <c r="P698" s="32"/>
      <c r="Q698" s="2"/>
      <c r="R698" s="2"/>
      <c r="S698" s="2"/>
      <c r="T698" s="2"/>
      <c r="U698" s="37">
        <f t="shared" si="172"/>
        <v>1</v>
      </c>
      <c r="V698" s="34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</row>
    <row r="699" spans="1:86" ht="28.8">
      <c r="A699" s="35">
        <v>45932</v>
      </c>
      <c r="B699" s="1" t="s">
        <v>309</v>
      </c>
      <c r="C699" s="1" t="s">
        <v>309</v>
      </c>
      <c r="D699" s="1" t="s">
        <v>354</v>
      </c>
      <c r="E699" s="2" t="s">
        <v>245</v>
      </c>
      <c r="F699" s="2">
        <v>90</v>
      </c>
      <c r="G699" s="2" t="s">
        <v>287</v>
      </c>
      <c r="H699" s="2">
        <v>33</v>
      </c>
      <c r="I699" s="2">
        <v>382</v>
      </c>
      <c r="J699" s="12">
        <f t="shared" si="173"/>
        <v>382</v>
      </c>
      <c r="K699" s="5">
        <f t="shared" si="174"/>
        <v>12861.952861952861</v>
      </c>
      <c r="L699" s="2">
        <v>1</v>
      </c>
      <c r="M699" s="37">
        <f t="shared" si="169"/>
        <v>1</v>
      </c>
      <c r="N699" s="2"/>
      <c r="O699" s="32"/>
      <c r="P699" s="32"/>
      <c r="Q699" s="2"/>
      <c r="R699" s="2"/>
      <c r="S699" s="2"/>
      <c r="T699" s="2"/>
      <c r="U699" s="37">
        <f t="shared" si="172"/>
        <v>1</v>
      </c>
      <c r="V699" s="34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</row>
    <row r="700" spans="1:86" ht="28.8">
      <c r="A700" s="35">
        <v>45932</v>
      </c>
      <c r="B700" s="1"/>
      <c r="C700" s="1"/>
      <c r="D700" s="1" t="s">
        <v>354</v>
      </c>
      <c r="E700" s="2" t="s">
        <v>245</v>
      </c>
      <c r="F700" s="2">
        <v>95</v>
      </c>
      <c r="G700" s="2" t="s">
        <v>287</v>
      </c>
      <c r="H700" s="2">
        <v>34</v>
      </c>
      <c r="I700" s="2">
        <v>385</v>
      </c>
      <c r="J700" s="12">
        <f t="shared" si="173"/>
        <v>385</v>
      </c>
      <c r="K700" s="5">
        <f t="shared" si="174"/>
        <v>11919.504643962848</v>
      </c>
      <c r="L700" s="2">
        <v>1</v>
      </c>
      <c r="M700" s="37">
        <f t="shared" si="169"/>
        <v>1</v>
      </c>
      <c r="N700" s="2"/>
      <c r="O700" s="32"/>
      <c r="P700" s="32"/>
      <c r="Q700" s="2"/>
      <c r="R700" s="2"/>
      <c r="S700" s="2"/>
      <c r="T700" s="2"/>
      <c r="U700" s="37">
        <f t="shared" si="172"/>
        <v>1</v>
      </c>
      <c r="V700" s="34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</row>
    <row r="701" spans="1:86" ht="28.8">
      <c r="A701" s="35">
        <v>45932</v>
      </c>
      <c r="B701" s="1"/>
      <c r="C701" s="1"/>
      <c r="D701" s="1" t="s">
        <v>354</v>
      </c>
      <c r="E701" s="2" t="s">
        <v>245</v>
      </c>
      <c r="F701" s="2">
        <v>95</v>
      </c>
      <c r="G701" s="2" t="s">
        <v>287</v>
      </c>
      <c r="H701" s="2">
        <v>34</v>
      </c>
      <c r="I701" s="2">
        <v>382</v>
      </c>
      <c r="J701" s="12">
        <f t="shared" si="173"/>
        <v>382</v>
      </c>
      <c r="K701" s="5">
        <f t="shared" si="174"/>
        <v>11826.625386996902</v>
      </c>
      <c r="L701" s="2">
        <v>1</v>
      </c>
      <c r="M701" s="37">
        <f t="shared" si="169"/>
        <v>1</v>
      </c>
      <c r="N701" s="2"/>
      <c r="O701" s="32"/>
      <c r="P701" s="32"/>
      <c r="Q701" s="2"/>
      <c r="R701" s="2"/>
      <c r="S701" s="2"/>
      <c r="T701" s="2"/>
      <c r="U701" s="37">
        <f t="shared" si="172"/>
        <v>1</v>
      </c>
      <c r="V701" s="34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</row>
    <row r="702" spans="1:86" ht="28.8">
      <c r="A702" s="35">
        <v>45932</v>
      </c>
      <c r="B702" s="1"/>
      <c r="C702" s="1"/>
      <c r="D702" s="1" t="s">
        <v>354</v>
      </c>
      <c r="E702" s="2" t="s">
        <v>245</v>
      </c>
      <c r="F702" s="2">
        <v>90</v>
      </c>
      <c r="G702" s="2" t="s">
        <v>287</v>
      </c>
      <c r="H702" s="2">
        <v>34.5</v>
      </c>
      <c r="I702" s="2">
        <v>382</v>
      </c>
      <c r="J702" s="12">
        <f t="shared" si="173"/>
        <v>382</v>
      </c>
      <c r="K702" s="5">
        <f t="shared" si="174"/>
        <v>12302.737520128823</v>
      </c>
      <c r="L702" s="2">
        <v>1</v>
      </c>
      <c r="M702" s="37">
        <f t="shared" si="169"/>
        <v>1</v>
      </c>
      <c r="N702" s="2"/>
      <c r="O702" s="32"/>
      <c r="P702" s="32"/>
      <c r="Q702" s="2"/>
      <c r="R702" s="2"/>
      <c r="S702" s="2"/>
      <c r="T702" s="2"/>
      <c r="U702" s="37">
        <f t="shared" si="172"/>
        <v>1</v>
      </c>
      <c r="V702" s="34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</row>
    <row r="703" spans="1:86" ht="28.8">
      <c r="A703" s="35">
        <v>45932</v>
      </c>
      <c r="B703" s="1" t="s">
        <v>291</v>
      </c>
      <c r="C703" s="1" t="s">
        <v>292</v>
      </c>
      <c r="D703" s="1" t="s">
        <v>354</v>
      </c>
      <c r="E703" s="2" t="s">
        <v>293</v>
      </c>
      <c r="F703" s="2">
        <v>152</v>
      </c>
      <c r="G703" s="2" t="s">
        <v>294</v>
      </c>
      <c r="H703" s="2">
        <v>155.4</v>
      </c>
      <c r="I703" s="2">
        <v>2361</v>
      </c>
      <c r="J703" s="12">
        <f t="shared" si="173"/>
        <v>4722</v>
      </c>
      <c r="K703" s="5">
        <f t="shared" si="174"/>
        <v>19990.855517171305</v>
      </c>
      <c r="L703" s="2">
        <v>2</v>
      </c>
      <c r="M703" s="37">
        <f t="shared" si="169"/>
        <v>2</v>
      </c>
      <c r="N703" s="2"/>
      <c r="O703" s="32"/>
      <c r="P703" s="32"/>
      <c r="Q703" s="2"/>
      <c r="R703" s="2"/>
      <c r="S703" s="2"/>
      <c r="T703" s="2"/>
      <c r="U703" s="37">
        <f t="shared" si="172"/>
        <v>2</v>
      </c>
      <c r="V703" s="34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</row>
    <row r="704" spans="1:86" ht="28.8">
      <c r="A704" s="35">
        <v>45932</v>
      </c>
      <c r="B704" s="1" t="s">
        <v>291</v>
      </c>
      <c r="C704" s="1" t="s">
        <v>292</v>
      </c>
      <c r="D704" s="1" t="s">
        <v>354</v>
      </c>
      <c r="E704" s="2" t="s">
        <v>293</v>
      </c>
      <c r="F704" s="2">
        <v>152</v>
      </c>
      <c r="G704" s="2" t="s">
        <v>294</v>
      </c>
      <c r="H704" s="2">
        <v>155.4</v>
      </c>
      <c r="I704" s="2">
        <v>2361</v>
      </c>
      <c r="J704" s="12">
        <f t="shared" si="173"/>
        <v>4722</v>
      </c>
      <c r="K704" s="5">
        <f t="shared" si="174"/>
        <v>19990.855517171305</v>
      </c>
      <c r="L704" s="2">
        <v>2</v>
      </c>
      <c r="M704" s="37">
        <f t="shared" si="169"/>
        <v>2</v>
      </c>
      <c r="N704" s="2"/>
      <c r="O704" s="32"/>
      <c r="P704" s="32"/>
      <c r="Q704" s="2"/>
      <c r="R704" s="2"/>
      <c r="S704" s="2"/>
      <c r="T704" s="2"/>
      <c r="U704" s="37">
        <f t="shared" si="172"/>
        <v>2</v>
      </c>
      <c r="V704" s="34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</row>
    <row r="705" spans="1:86" ht="28.8">
      <c r="A705" s="35">
        <v>45932</v>
      </c>
      <c r="B705" s="1" t="s">
        <v>425</v>
      </c>
      <c r="C705" s="1" t="s">
        <v>425</v>
      </c>
      <c r="D705" s="1" t="s">
        <v>354</v>
      </c>
      <c r="E705" s="2" t="s">
        <v>293</v>
      </c>
      <c r="F705" s="2">
        <v>152</v>
      </c>
      <c r="G705" s="2" t="s">
        <v>294</v>
      </c>
      <c r="H705" s="2">
        <v>151.9</v>
      </c>
      <c r="I705" s="2">
        <v>2256</v>
      </c>
      <c r="J705" s="12">
        <f t="shared" si="173"/>
        <v>4512</v>
      </c>
      <c r="K705" s="5">
        <f t="shared" si="174"/>
        <v>19541.942413637782</v>
      </c>
      <c r="L705" s="2">
        <v>2</v>
      </c>
      <c r="M705" s="37">
        <f t="shared" si="169"/>
        <v>2</v>
      </c>
      <c r="N705" s="2"/>
      <c r="O705" s="32"/>
      <c r="P705" s="32"/>
      <c r="Q705" s="2"/>
      <c r="R705" s="2"/>
      <c r="S705" s="2"/>
      <c r="T705" s="2"/>
      <c r="U705" s="37">
        <f t="shared" si="172"/>
        <v>2</v>
      </c>
      <c r="V705" s="34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</row>
    <row r="706" spans="1:86" ht="28.8">
      <c r="A706" s="35">
        <v>45932</v>
      </c>
      <c r="B706" s="1" t="s">
        <v>307</v>
      </c>
      <c r="C706" s="1" t="s">
        <v>307</v>
      </c>
      <c r="D706" s="1" t="s">
        <v>354</v>
      </c>
      <c r="E706" s="2" t="s">
        <v>245</v>
      </c>
      <c r="F706" s="2">
        <v>90</v>
      </c>
      <c r="G706" s="2" t="s">
        <v>247</v>
      </c>
      <c r="H706" s="2">
        <v>38</v>
      </c>
      <c r="I706" s="2">
        <v>397</v>
      </c>
      <c r="J706" s="12">
        <f>IFERROR(IF(AND(V706=3,U706&gt;0),I706,I706*U706),"Verify")</f>
        <v>397</v>
      </c>
      <c r="K706" s="5">
        <f>+J706/(F706*H706*10^-5)</f>
        <v>11608.187134502923</v>
      </c>
      <c r="L706" s="2">
        <v>1</v>
      </c>
      <c r="M706" s="37">
        <f>+L706-X706-Z706-AD706-AB706-AF706-AH706-AJ706-AL706-AO706-AQ706-AS706-AU706-AW706-AY706-BA706-BC706-BE706-BG706-BI706-BK706-BM706-BO706-BQ706-BS706-BU706-BW706-BY706-CA706-CC706-CE706-CG706</f>
        <v>1</v>
      </c>
      <c r="N706" s="2"/>
      <c r="O706" s="32"/>
      <c r="P706" s="32"/>
      <c r="Q706" s="2"/>
      <c r="R706" s="2"/>
      <c r="S706" s="2"/>
      <c r="T706" s="2"/>
      <c r="U706" s="37">
        <f>+L706-X706-Z706-AD706-AB706-AF706-AH706-AJ706-AL706-AO706-AQ706-AS706-AU706-AW706-AY706-BA706-BC706-BE706-BG706-BI706-BK706-BM706-BO706-BQ706-BS706-BU706-BW706-BY706-CA706-CC706-CE706-CG706</f>
        <v>1</v>
      </c>
      <c r="V706" s="34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</row>
    <row r="707" spans="1:86" ht="28.8">
      <c r="A707" s="35">
        <v>45932</v>
      </c>
      <c r="B707" s="1" t="s">
        <v>430</v>
      </c>
      <c r="C707" s="1" t="s">
        <v>430</v>
      </c>
      <c r="D707" s="1" t="s">
        <v>354</v>
      </c>
      <c r="E707" s="2" t="s">
        <v>245</v>
      </c>
      <c r="F707" s="2">
        <v>95</v>
      </c>
      <c r="G707" s="2" t="s">
        <v>287</v>
      </c>
      <c r="H707" s="2">
        <v>35</v>
      </c>
      <c r="I707" s="2">
        <v>389</v>
      </c>
      <c r="J707" s="12">
        <f>IFERROR(IF(AND(V707=3,U707&gt;0),I707,I707*U707),"Verify")</f>
        <v>389</v>
      </c>
      <c r="K707" s="5">
        <f>+J707/(F707*H707*10^-5)</f>
        <v>11699.248120300752</v>
      </c>
      <c r="L707" s="2">
        <v>1</v>
      </c>
      <c r="M707" s="37">
        <f>+L707-X707-Z707-AD707-AB707-AF707-AH707-AJ707-AL707-AO707-AQ707-AS707-AU707-AW707-AY707-BA707-BC707-BE707-BG707-BI707-BK707-BM707-BO707-BQ707-BS707-BU707-BW707-BY707-CA707-CC707-CE707-CG707</f>
        <v>1</v>
      </c>
      <c r="N707" s="2"/>
      <c r="O707" s="32"/>
      <c r="P707" s="32"/>
      <c r="Q707" s="2"/>
      <c r="R707" s="2"/>
      <c r="S707" s="2"/>
      <c r="T707" s="2"/>
      <c r="U707" s="37">
        <f>+L707-X707-Z707-AD707-AB707-AF707-AH707-AJ707-AL707-AO707-AQ707-AS707-AU707-AW707-AY707-BA707-BC707-BE707-BG707-BI707-BK707-BM707-BO707-BQ707-BS707-BU707-BW707-BY707-CA707-CC707-CE707-CG707</f>
        <v>1</v>
      </c>
      <c r="V707" s="34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</row>
    <row r="708" spans="1:86" ht="28.8">
      <c r="A708" s="35">
        <v>45933</v>
      </c>
      <c r="B708" s="1" t="s">
        <v>424</v>
      </c>
      <c r="C708" s="1" t="s">
        <v>424</v>
      </c>
      <c r="D708" s="1" t="s">
        <v>354</v>
      </c>
      <c r="E708" s="2" t="s">
        <v>29</v>
      </c>
      <c r="F708" s="2">
        <v>80</v>
      </c>
      <c r="G708" s="2" t="s">
        <v>115</v>
      </c>
      <c r="H708" s="2">
        <v>100</v>
      </c>
      <c r="I708" s="2">
        <v>640</v>
      </c>
      <c r="J708" s="12">
        <f>IFERROR(IF(AND(V708=3,U708&gt;0),I708,I708*U708),"Verify")</f>
        <v>1920</v>
      </c>
      <c r="K708" s="5">
        <f>+J708/(F708*H708*10^-5)</f>
        <v>24000</v>
      </c>
      <c r="L708" s="2">
        <v>3</v>
      </c>
      <c r="M708" s="37">
        <f>+L708-X708-Z708-AD708-AB708-AF708-AH708-AJ708-AL708-AO708-AQ708-AS708-AU708-AW708-AY708-BA708-BC708-BE708-BG708-BI708-BK708-BM708-BO708-BQ708-BS708-BU708-BW708-BY708-CA708-CC708-CE708-CG708</f>
        <v>3</v>
      </c>
      <c r="N708" s="2"/>
      <c r="O708" s="32"/>
      <c r="P708" s="32"/>
      <c r="Q708" s="2"/>
      <c r="R708" s="2"/>
      <c r="S708" s="2"/>
      <c r="T708" s="2"/>
      <c r="U708" s="37">
        <f>+L708-X708-Z708-AD708-AB708-AF708-AH708-AJ708-AL708-AO708-AQ708-AS708-AU708-AW708-AY708-BA708-BC708-BE708-BG708-BI708-BK708-BM708-BO708-BQ708-BS708-BU708-BW708-BY708-CA708-CC708-CE708-CG708</f>
        <v>3</v>
      </c>
      <c r="V708" s="34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</row>
    <row r="709" spans="1:86" ht="28.8">
      <c r="A709" s="35">
        <v>45933</v>
      </c>
      <c r="B709" s="1" t="s">
        <v>424</v>
      </c>
      <c r="C709" s="1" t="s">
        <v>424</v>
      </c>
      <c r="D709" s="1" t="s">
        <v>354</v>
      </c>
      <c r="E709" s="2" t="s">
        <v>29</v>
      </c>
      <c r="F709" s="2">
        <v>80</v>
      </c>
      <c r="G709" s="2" t="s">
        <v>115</v>
      </c>
      <c r="H709" s="2">
        <v>100</v>
      </c>
      <c r="I709" s="2">
        <v>640</v>
      </c>
      <c r="J709" s="12">
        <f>IFERROR(IF(AND(V709=3,U709&gt;0),I709,I709*U709),"Verify")</f>
        <v>1920</v>
      </c>
      <c r="K709" s="5">
        <f>+J709/(F709*H709*10^-5)</f>
        <v>24000</v>
      </c>
      <c r="L709" s="2">
        <v>3</v>
      </c>
      <c r="M709" s="37">
        <f>+L709-X709-Z709-AD709-AB709-AF709-AH709-AJ709-AL709-AO709-AQ709-AS709-AU709-AW709-AY709-BA709-BC709-BE709-BG709-BI709-BK709-BM709-BO709-BQ709-BS709-BU709-BW709-BY709-CA709-CC709-CE709-CG709</f>
        <v>3</v>
      </c>
      <c r="N709" s="2"/>
      <c r="O709" s="32"/>
      <c r="P709" s="32"/>
      <c r="Q709" s="2"/>
      <c r="R709" s="2"/>
      <c r="S709" s="2"/>
      <c r="T709" s="2"/>
      <c r="U709" s="37">
        <f>+L709-X709-Z709-AD709-AB709-AF709-AH709-AJ709-AL709-AO709-AQ709-AS709-AU709-AW709-AY709-BA709-BC709-BE709-BG709-BI709-BK709-BM709-BO709-BQ709-BS709-BU709-BW709-BY709-CA709-CC709-CE709-CG709</f>
        <v>3</v>
      </c>
      <c r="V709" s="34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</row>
    <row r="710" spans="1:86" ht="28.8">
      <c r="A710" s="35">
        <v>45933</v>
      </c>
      <c r="B710" s="1" t="s">
        <v>424</v>
      </c>
      <c r="C710" s="1" t="s">
        <v>424</v>
      </c>
      <c r="D710" s="1" t="s">
        <v>354</v>
      </c>
      <c r="E710" s="2" t="s">
        <v>29</v>
      </c>
      <c r="F710" s="2">
        <v>80</v>
      </c>
      <c r="G710" s="2" t="s">
        <v>115</v>
      </c>
      <c r="H710" s="2">
        <v>100</v>
      </c>
      <c r="I710" s="2">
        <v>800</v>
      </c>
      <c r="J710" s="12">
        <f>IFERROR(IF(AND(V710=3,U710&gt;0),I710,I710*U710),"Verify")</f>
        <v>8800</v>
      </c>
      <c r="K710" s="5">
        <f>+J710/(F710*H710*10^-5)</f>
        <v>110000</v>
      </c>
      <c r="L710" s="2">
        <v>11</v>
      </c>
      <c r="M710" s="37">
        <f>+L710-X710-Z710-AD710-AB710-AF710-AH710-AJ710-AL710-AO710-AQ710-AS710-AU710-AW710-AY710-BA710-BC710-BE710-BG710-BI710-BK710-BM710-BO710-BQ710-BS710-BU710-BW710-BY710-CA710-CC710-CE710-CG710</f>
        <v>11</v>
      </c>
      <c r="N710" s="2"/>
      <c r="O710" s="32"/>
      <c r="P710" s="32"/>
      <c r="Q710" s="2"/>
      <c r="R710" s="2"/>
      <c r="S710" s="2"/>
      <c r="T710" s="2"/>
      <c r="U710" s="37">
        <f>+L710-X710-Z710-AD710-AB710-AF710-AH710-AJ710-AL710-AO710-AQ710-AS710-AU710-AW710-AY710-BA710-BC710-BE710-BG710-BI710-BK710-BM710-BO710-BQ710-BS710-BU710-BW710-BY710-CA710-CC710-CE710-CG710</f>
        <v>11</v>
      </c>
      <c r="V710" s="34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</row>
    <row r="711" spans="1:86" ht="28.8">
      <c r="A711" s="35">
        <v>45934</v>
      </c>
      <c r="B711" s="1"/>
      <c r="C711" s="1"/>
      <c r="D711" s="1"/>
      <c r="E711" s="2" t="s">
        <v>431</v>
      </c>
      <c r="F711" s="2">
        <v>250</v>
      </c>
      <c r="G711" s="2" t="s">
        <v>432</v>
      </c>
      <c r="H711" s="2">
        <v>70</v>
      </c>
      <c r="I711" s="2">
        <v>639</v>
      </c>
      <c r="J711" s="12">
        <f t="shared" ref="J711:J717" si="175">IFERROR(IF(AND(V711=3,U711&gt;0),I711,I711*U711),"Verify")</f>
        <v>15336</v>
      </c>
      <c r="K711" s="5">
        <f t="shared" ref="K711:K717" si="176">+J711/(F711*H711*10^-5)</f>
        <v>87634.28571428571</v>
      </c>
      <c r="L711" s="2">
        <v>24</v>
      </c>
      <c r="M711" s="37">
        <f t="shared" ref="M711:M717" si="177">+L711-X711-Z711-AD711-AB711-AF711-AH711-AJ711-AL711-AO711-AQ711-AS711-AU711-AW711-AY711-BA711-BC711-BE711-BG711-BI711-BK711-BM711-BO711-BQ711-BS711-BU711-BW711-BY711-CA711-CC711-CE711-CG711</f>
        <v>24</v>
      </c>
      <c r="N711" s="2"/>
      <c r="O711" s="32"/>
      <c r="P711" s="32"/>
      <c r="Q711" s="2"/>
      <c r="R711" s="2"/>
      <c r="S711" s="2"/>
      <c r="T711" s="2"/>
      <c r="U711" s="37">
        <f t="shared" ref="U711:U717" si="178">+L711-X711-Z711-AD711-AB711-AF711-AH711-AJ711-AL711-AO711-AQ711-AS711-AU711-AW711-AY711-BA711-BC711-BE711-BG711-BI711-BK711-BM711-BO711-BQ711-BS711-BU711-BW711-BY711-CA711-CC711-CE711-CG711</f>
        <v>24</v>
      </c>
      <c r="V711" s="34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</row>
    <row r="712" spans="1:86" ht="28.8">
      <c r="A712" s="35">
        <v>45934</v>
      </c>
      <c r="B712" s="1"/>
      <c r="C712" s="1"/>
      <c r="D712" s="1"/>
      <c r="E712" s="2" t="s">
        <v>431</v>
      </c>
      <c r="F712" s="2">
        <v>250</v>
      </c>
      <c r="G712" s="2" t="s">
        <v>432</v>
      </c>
      <c r="H712" s="2">
        <v>70</v>
      </c>
      <c r="I712" s="2">
        <v>621</v>
      </c>
      <c r="J712" s="12">
        <f t="shared" si="175"/>
        <v>621</v>
      </c>
      <c r="K712" s="5">
        <f t="shared" si="176"/>
        <v>3548.5714285714284</v>
      </c>
      <c r="L712" s="2">
        <v>1</v>
      </c>
      <c r="M712" s="37">
        <f t="shared" si="177"/>
        <v>1</v>
      </c>
      <c r="N712" s="2"/>
      <c r="O712" s="32"/>
      <c r="P712" s="32"/>
      <c r="Q712" s="2"/>
      <c r="R712" s="2"/>
      <c r="S712" s="2"/>
      <c r="T712" s="2"/>
      <c r="U712" s="37">
        <f t="shared" si="178"/>
        <v>1</v>
      </c>
      <c r="V712" s="34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</row>
    <row r="713" spans="1:86" ht="28.8">
      <c r="A713" s="35">
        <v>45934</v>
      </c>
      <c r="B713" s="1"/>
      <c r="C713" s="1"/>
      <c r="D713" s="1"/>
      <c r="E713" s="2" t="s">
        <v>431</v>
      </c>
      <c r="F713" s="2">
        <v>250</v>
      </c>
      <c r="G713" s="2" t="s">
        <v>432</v>
      </c>
      <c r="H713" s="2">
        <v>72</v>
      </c>
      <c r="I713" s="2">
        <v>657</v>
      </c>
      <c r="J713" s="12">
        <f t="shared" si="175"/>
        <v>5256</v>
      </c>
      <c r="K713" s="5">
        <f t="shared" si="176"/>
        <v>29199.999999999996</v>
      </c>
      <c r="L713" s="2">
        <v>8</v>
      </c>
      <c r="M713" s="37">
        <f t="shared" si="177"/>
        <v>8</v>
      </c>
      <c r="N713" s="2"/>
      <c r="O713" s="32"/>
      <c r="P713" s="32"/>
      <c r="Q713" s="2"/>
      <c r="R713" s="2"/>
      <c r="S713" s="2"/>
      <c r="T713" s="2"/>
      <c r="U713" s="37">
        <f t="shared" si="178"/>
        <v>8</v>
      </c>
      <c r="V713" s="34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</row>
    <row r="714" spans="1:86" ht="28.8">
      <c r="A714" s="35">
        <v>45937</v>
      </c>
      <c r="B714" s="1"/>
      <c r="C714" s="1"/>
      <c r="D714" s="1"/>
      <c r="E714" s="2" t="s">
        <v>29</v>
      </c>
      <c r="F714" s="2">
        <v>160</v>
      </c>
      <c r="G714" s="2" t="s">
        <v>433</v>
      </c>
      <c r="H714" s="2">
        <v>119</v>
      </c>
      <c r="I714" s="2">
        <v>952</v>
      </c>
      <c r="J714" s="12">
        <f t="shared" si="175"/>
        <v>5712</v>
      </c>
      <c r="K714" s="5">
        <f t="shared" si="176"/>
        <v>29999.999999999996</v>
      </c>
      <c r="L714" s="2">
        <v>6</v>
      </c>
      <c r="M714" s="37">
        <f t="shared" si="177"/>
        <v>6</v>
      </c>
      <c r="N714" s="2"/>
      <c r="O714" s="32"/>
      <c r="P714" s="32"/>
      <c r="Q714" s="2"/>
      <c r="R714" s="2"/>
      <c r="S714" s="2"/>
      <c r="T714" s="2"/>
      <c r="U714" s="37">
        <f t="shared" si="178"/>
        <v>6</v>
      </c>
      <c r="V714" s="34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</row>
    <row r="715" spans="1:86" ht="28.8">
      <c r="A715" s="35">
        <v>45937</v>
      </c>
      <c r="B715" s="1"/>
      <c r="C715" s="1"/>
      <c r="D715" s="1"/>
      <c r="E715" s="2" t="s">
        <v>29</v>
      </c>
      <c r="F715" s="2">
        <v>180</v>
      </c>
      <c r="G715" s="2" t="s">
        <v>433</v>
      </c>
      <c r="H715" s="2">
        <v>71</v>
      </c>
      <c r="I715" s="2">
        <v>639</v>
      </c>
      <c r="J715" s="12">
        <f t="shared" si="175"/>
        <v>6390</v>
      </c>
      <c r="K715" s="5">
        <f t="shared" si="176"/>
        <v>50000</v>
      </c>
      <c r="L715" s="2">
        <v>12</v>
      </c>
      <c r="M715" s="37">
        <f t="shared" si="177"/>
        <v>10</v>
      </c>
      <c r="N715" s="2"/>
      <c r="O715" s="32"/>
      <c r="P715" s="32"/>
      <c r="Q715" s="2"/>
      <c r="R715" s="2"/>
      <c r="S715" s="2"/>
      <c r="T715" s="2"/>
      <c r="U715" s="37">
        <f t="shared" si="178"/>
        <v>10</v>
      </c>
      <c r="V715" s="34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>
        <v>2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</row>
    <row r="716" spans="1:86" ht="28.8">
      <c r="A716" s="35">
        <v>45937</v>
      </c>
      <c r="B716" s="1"/>
      <c r="C716" s="1"/>
      <c r="D716" s="1"/>
      <c r="E716" s="2" t="s">
        <v>29</v>
      </c>
      <c r="F716" s="2">
        <v>180</v>
      </c>
      <c r="G716" s="2" t="s">
        <v>433</v>
      </c>
      <c r="H716" s="2">
        <v>112</v>
      </c>
      <c r="I716" s="2">
        <v>1008</v>
      </c>
      <c r="J716" s="12">
        <f t="shared" si="175"/>
        <v>11088</v>
      </c>
      <c r="K716" s="5">
        <f t="shared" si="176"/>
        <v>54999.999999999993</v>
      </c>
      <c r="L716" s="2">
        <v>12</v>
      </c>
      <c r="M716" s="37">
        <f t="shared" si="177"/>
        <v>11</v>
      </c>
      <c r="N716" s="2"/>
      <c r="O716" s="32"/>
      <c r="P716" s="32"/>
      <c r="Q716" s="2"/>
      <c r="R716" s="2"/>
      <c r="S716" s="2"/>
      <c r="T716" s="2"/>
      <c r="U716" s="37">
        <f t="shared" si="178"/>
        <v>11</v>
      </c>
      <c r="V716" s="34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>
        <v>1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</row>
    <row r="717" spans="1:86" ht="28.8">
      <c r="A717" s="35">
        <v>45937</v>
      </c>
      <c r="B717" s="1"/>
      <c r="C717" s="1"/>
      <c r="D717" s="1"/>
      <c r="E717" s="2" t="s">
        <v>29</v>
      </c>
      <c r="F717" s="2">
        <v>110</v>
      </c>
      <c r="G717" s="2" t="s">
        <v>433</v>
      </c>
      <c r="H717" s="2">
        <v>82</v>
      </c>
      <c r="I717" s="2">
        <v>631.4</v>
      </c>
      <c r="J717" s="12">
        <f t="shared" si="175"/>
        <v>4419.8</v>
      </c>
      <c r="K717" s="5">
        <f t="shared" si="176"/>
        <v>49000</v>
      </c>
      <c r="L717" s="2">
        <v>7</v>
      </c>
      <c r="M717" s="37">
        <f t="shared" si="177"/>
        <v>7</v>
      </c>
      <c r="N717" s="2"/>
      <c r="O717" s="32"/>
      <c r="P717" s="32"/>
      <c r="Q717" s="2"/>
      <c r="R717" s="2"/>
      <c r="S717" s="2"/>
      <c r="T717" s="2"/>
      <c r="U717" s="37">
        <f t="shared" si="178"/>
        <v>7</v>
      </c>
      <c r="V717" s="34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</row>
    <row r="718" spans="1:86" ht="28.8">
      <c r="A718" s="35">
        <v>45937</v>
      </c>
      <c r="B718" s="1"/>
      <c r="C718" s="1"/>
      <c r="D718" s="1"/>
      <c r="E718" s="2" t="s">
        <v>29</v>
      </c>
      <c r="F718" s="2">
        <v>110</v>
      </c>
      <c r="G718" s="2" t="s">
        <v>433</v>
      </c>
      <c r="H718" s="2">
        <v>164</v>
      </c>
      <c r="I718" s="2">
        <v>1262.8</v>
      </c>
      <c r="J718" s="12">
        <f t="shared" ref="J718:J721" si="179">IFERROR(IF(AND(V718=3,U718&gt;0),I718,I718*U718),"Verify")</f>
        <v>8839.6</v>
      </c>
      <c r="K718" s="5">
        <f t="shared" ref="K718:K721" si="180">+J718/(F718*H718*10^-5)</f>
        <v>49000</v>
      </c>
      <c r="L718" s="2">
        <v>7</v>
      </c>
      <c r="M718" s="37">
        <f t="shared" ref="M718:M721" si="181">+L718-X718-Z718-AD718-AB718-AF718-AH718-AJ718-AL718-AO718-AQ718-AS718-AU718-AW718-AY718-BA718-BC718-BE718-BG718-BI718-BK718-BM718-BO718-BQ718-BS718-BU718-BW718-BY718-CA718-CC718-CE718-CG718</f>
        <v>7</v>
      </c>
      <c r="N718" s="2"/>
      <c r="O718" s="32"/>
      <c r="P718" s="32"/>
      <c r="Q718" s="2"/>
      <c r="R718" s="2"/>
      <c r="S718" s="2"/>
      <c r="T718" s="2"/>
      <c r="U718" s="37">
        <f t="shared" ref="U718:U721" si="182">+L718-X718-Z718-AD718-AB718-AF718-AH718-AJ718-AL718-AO718-AQ718-AS718-AU718-AW718-AY718-BA718-BC718-BE718-BG718-BI718-BK718-BM718-BO718-BQ718-BS718-BU718-BW718-BY718-CA718-CC718-CE718-CG718</f>
        <v>7</v>
      </c>
      <c r="V718" s="34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</row>
    <row r="719" spans="1:86" ht="28.8">
      <c r="A719" s="35">
        <v>45937</v>
      </c>
      <c r="B719" s="1"/>
      <c r="C719" s="1"/>
      <c r="D719" s="1"/>
      <c r="E719" s="2" t="s">
        <v>29</v>
      </c>
      <c r="F719" s="2">
        <v>110</v>
      </c>
      <c r="G719" s="2" t="s">
        <v>433</v>
      </c>
      <c r="H719" s="2">
        <v>123</v>
      </c>
      <c r="I719" s="2">
        <v>947.1</v>
      </c>
      <c r="J719" s="12">
        <f t="shared" si="179"/>
        <v>2841.3</v>
      </c>
      <c r="K719" s="5">
        <f t="shared" si="180"/>
        <v>21000</v>
      </c>
      <c r="L719" s="2">
        <v>6</v>
      </c>
      <c r="M719" s="37">
        <f t="shared" si="181"/>
        <v>3</v>
      </c>
      <c r="N719" s="2"/>
      <c r="O719" s="32"/>
      <c r="P719" s="32"/>
      <c r="Q719" s="2"/>
      <c r="R719" s="2"/>
      <c r="S719" s="2"/>
      <c r="T719" s="2"/>
      <c r="U719" s="37">
        <f t="shared" si="182"/>
        <v>3</v>
      </c>
      <c r="V719" s="34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>
        <v>2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>
        <v>1</v>
      </c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</row>
    <row r="720" spans="1:86" ht="28.8">
      <c r="A720" s="35">
        <v>45937</v>
      </c>
      <c r="B720" s="1"/>
      <c r="C720" s="1"/>
      <c r="D720" s="1"/>
      <c r="E720" s="2" t="s">
        <v>29</v>
      </c>
      <c r="F720" s="2">
        <v>110</v>
      </c>
      <c r="G720" s="2" t="s">
        <v>433</v>
      </c>
      <c r="H720" s="2">
        <v>138</v>
      </c>
      <c r="I720" s="2">
        <v>1122.5999999999999</v>
      </c>
      <c r="J720" s="12">
        <f t="shared" si="179"/>
        <v>6735.5999999999995</v>
      </c>
      <c r="K720" s="5">
        <f t="shared" si="180"/>
        <v>44371.541501976273</v>
      </c>
      <c r="L720" s="2">
        <v>6</v>
      </c>
      <c r="M720" s="37">
        <f t="shared" si="181"/>
        <v>6</v>
      </c>
      <c r="N720" s="2"/>
      <c r="O720" s="32"/>
      <c r="P720" s="32"/>
      <c r="Q720" s="2"/>
      <c r="R720" s="2"/>
      <c r="S720" s="2"/>
      <c r="T720" s="2"/>
      <c r="U720" s="37">
        <f t="shared" si="182"/>
        <v>6</v>
      </c>
      <c r="V720" s="34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</row>
    <row r="721" spans="1:86" ht="28.8">
      <c r="A721" s="35">
        <v>45938</v>
      </c>
      <c r="B721" s="1"/>
      <c r="C721" s="1"/>
      <c r="D721" s="1"/>
      <c r="E721" s="2" t="s">
        <v>29</v>
      </c>
      <c r="F721" s="2">
        <v>180</v>
      </c>
      <c r="G721" s="2" t="s">
        <v>433</v>
      </c>
      <c r="H721" s="2">
        <v>196</v>
      </c>
      <c r="I721" s="2">
        <v>1764</v>
      </c>
      <c r="J721" s="12">
        <f t="shared" si="179"/>
        <v>21168</v>
      </c>
      <c r="K721" s="5">
        <f t="shared" si="180"/>
        <v>60000</v>
      </c>
      <c r="L721" s="2">
        <v>14</v>
      </c>
      <c r="M721" s="37">
        <f t="shared" si="181"/>
        <v>12</v>
      </c>
      <c r="N721" s="2"/>
      <c r="O721" s="32"/>
      <c r="P721" s="32"/>
      <c r="Q721" s="2"/>
      <c r="R721" s="2"/>
      <c r="S721" s="2"/>
      <c r="T721" s="2"/>
      <c r="U721" s="37">
        <f t="shared" si="182"/>
        <v>12</v>
      </c>
      <c r="V721" s="34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>
        <v>2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</row>
  </sheetData>
  <autoFilter ref="A3:CH721" xr:uid="{B0EF6E06-D237-48B6-AE92-337BA9523D4F}"/>
  <mergeCells count="50">
    <mergeCell ref="CG1:CH1"/>
    <mergeCell ref="BU1:BV1"/>
    <mergeCell ref="BW1:BX1"/>
    <mergeCell ref="BY1:BZ1"/>
    <mergeCell ref="CA1:CB1"/>
    <mergeCell ref="CC1:CD1"/>
    <mergeCell ref="CE1:CF1"/>
    <mergeCell ref="BS1:BT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AU1:AV1"/>
    <mergeCell ref="X1:Y1"/>
    <mergeCell ref="Z1:AA1"/>
    <mergeCell ref="AB1:AC1"/>
    <mergeCell ref="AD1:AE1"/>
    <mergeCell ref="AF1:AG1"/>
    <mergeCell ref="AH1:AI1"/>
    <mergeCell ref="AJ1:AK1"/>
    <mergeCell ref="AL1:AN1"/>
    <mergeCell ref="AO1:AP1"/>
    <mergeCell ref="AQ1:AR1"/>
    <mergeCell ref="AS1:AT1"/>
    <mergeCell ref="W1:W2"/>
    <mergeCell ref="H1:H2"/>
    <mergeCell ref="I1:I2"/>
    <mergeCell ref="J1:J2"/>
    <mergeCell ref="K1:K2"/>
    <mergeCell ref="L1:L2"/>
    <mergeCell ref="M1:M2"/>
    <mergeCell ref="N1:P1"/>
    <mergeCell ref="Q1:Q2"/>
    <mergeCell ref="R1:R2"/>
    <mergeCell ref="U1:U2"/>
    <mergeCell ref="V1:V2"/>
    <mergeCell ref="G1:G2"/>
    <mergeCell ref="A1:A2"/>
    <mergeCell ref="B1:B2"/>
    <mergeCell ref="C1:C2"/>
    <mergeCell ref="E1:E2"/>
    <mergeCell ref="F1:F2"/>
    <mergeCell ref="D1:D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D747-0F59-40E7-AA6D-482CDB192066}">
  <sheetPr codeName="Sheet12"/>
  <dimension ref="A1:CH741"/>
  <sheetViews>
    <sheetView showGridLines="0" tabSelected="1" zoomScale="86" zoomScaleNormal="86" zoomScaleSheetLayoutView="80" workbookViewId="0">
      <pane xSplit="13" ySplit="3" topLeftCell="N506" activePane="bottomRight" state="frozen"/>
      <selection pane="topRight" activeCell="N1" sqref="N1"/>
      <selection pane="bottomLeft" activeCell="A463" sqref="A463"/>
      <selection pane="bottomRight" activeCell="F462" sqref="F462"/>
    </sheetView>
  </sheetViews>
  <sheetFormatPr defaultColWidth="10.109375" defaultRowHeight="14.4"/>
  <cols>
    <col min="1" max="1" width="9.33203125" style="28" customWidth="1"/>
    <col min="2" max="2" width="19" style="3" customWidth="1"/>
    <col min="3" max="3" width="23.5546875" style="3" customWidth="1"/>
    <col min="4" max="4" width="14.33203125" style="3" customWidth="1"/>
    <col min="5" max="5" width="15.44140625" style="25" customWidth="1"/>
    <col min="6" max="6" width="13.5546875" style="25" bestFit="1" customWidth="1"/>
    <col min="7" max="7" width="21.44140625" style="25" customWidth="1"/>
    <col min="8" max="8" width="12.6640625" style="25" customWidth="1"/>
    <col min="9" max="9" width="13" style="25" customWidth="1"/>
    <col min="10" max="10" width="18.6640625" style="25" customWidth="1"/>
    <col min="11" max="11" width="13" style="25" customWidth="1"/>
    <col min="12" max="12" width="9.33203125" style="30" customWidth="1"/>
    <col min="13" max="14" width="10.109375" style="25" customWidth="1"/>
    <col min="15" max="15" width="10.109375" style="26" customWidth="1"/>
    <col min="16" max="17" width="10.109375" style="25" customWidth="1"/>
    <col min="18" max="18" width="17.6640625" style="25" customWidth="1"/>
    <col min="19" max="19" width="8.6640625" style="25" customWidth="1"/>
    <col min="20" max="20" width="39.33203125" style="25" customWidth="1"/>
    <col min="21" max="21" width="9.5546875" style="25" customWidth="1"/>
    <col min="22" max="22" width="14.109375" style="25" customWidth="1"/>
    <col min="23" max="23" width="10.109375" style="25" customWidth="1"/>
    <col min="24" max="24" width="8.109375" style="25" customWidth="1"/>
    <col min="25" max="27" width="9.5546875" style="25" customWidth="1"/>
    <col min="28" max="28" width="10.109375" style="25" customWidth="1"/>
    <col min="29" max="29" width="9.5546875" style="25" customWidth="1"/>
    <col min="30" max="30" width="10.6640625" style="25" customWidth="1"/>
    <col min="31" max="40" width="9.5546875" style="25" customWidth="1"/>
    <col min="41" max="41" width="10.33203125" style="25" customWidth="1"/>
    <col min="42" max="42" width="11.5546875" style="25" customWidth="1"/>
    <col min="43" max="43" width="10.33203125" style="25" customWidth="1"/>
    <col min="44" max="44" width="11.5546875" style="25" customWidth="1"/>
    <col min="45" max="45" width="10.33203125" style="25" customWidth="1"/>
    <col min="46" max="46" width="11.5546875" style="25" customWidth="1"/>
    <col min="47" max="47" width="10.33203125" style="25" customWidth="1"/>
    <col min="48" max="48" width="11.5546875" style="25" customWidth="1"/>
    <col min="49" max="49" width="10.33203125" style="25" customWidth="1"/>
    <col min="50" max="50" width="11.5546875" style="25" customWidth="1"/>
    <col min="51" max="51" width="10.33203125" style="25" customWidth="1"/>
    <col min="52" max="52" width="11.5546875" style="25" customWidth="1"/>
    <col min="53" max="53" width="10.33203125" style="25" customWidth="1"/>
    <col min="54" max="54" width="11.5546875" style="25" customWidth="1"/>
    <col min="55" max="55" width="10.33203125" style="25" customWidth="1"/>
    <col min="56" max="56" width="11.5546875" style="25" customWidth="1"/>
    <col min="57" max="57" width="10.33203125" style="25" customWidth="1"/>
    <col min="58" max="58" width="11.5546875" style="25" customWidth="1"/>
    <col min="59" max="59" width="10.33203125" style="25" customWidth="1"/>
    <col min="60" max="60" width="11.5546875" style="25" customWidth="1"/>
    <col min="61" max="61" width="10.33203125" style="25" customWidth="1"/>
    <col min="62" max="62" width="11.5546875" style="25" customWidth="1"/>
    <col min="63" max="63" width="10.33203125" style="25" customWidth="1"/>
    <col min="64" max="64" width="11.5546875" style="25" customWidth="1"/>
    <col min="65" max="65" width="10.33203125" style="25" customWidth="1"/>
    <col min="66" max="66" width="11.5546875" style="25" customWidth="1"/>
    <col min="67" max="67" width="10.33203125" style="25" customWidth="1"/>
    <col min="68" max="68" width="11.5546875" style="25" customWidth="1"/>
    <col min="69" max="69" width="10.33203125" style="25" customWidth="1"/>
    <col min="70" max="70" width="11.5546875" style="25" customWidth="1"/>
    <col min="71" max="71" width="10.33203125" style="25" customWidth="1"/>
    <col min="72" max="72" width="11.5546875" style="25" customWidth="1"/>
    <col min="73" max="73" width="10.33203125" style="25" customWidth="1"/>
    <col min="74" max="74" width="11.5546875" style="25" customWidth="1"/>
    <col min="75" max="75" width="10.33203125" style="25" customWidth="1"/>
    <col min="76" max="76" width="11.5546875" style="25" customWidth="1"/>
    <col min="77" max="77" width="10.33203125" style="25" customWidth="1"/>
    <col min="78" max="78" width="11.5546875" style="25" customWidth="1"/>
    <col min="79" max="79" width="10.33203125" style="25" customWidth="1"/>
    <col min="80" max="80" width="11.5546875" style="25" customWidth="1"/>
    <col min="81" max="81" width="10.33203125" style="25" customWidth="1"/>
    <col min="82" max="82" width="11.5546875" style="25" customWidth="1"/>
    <col min="83" max="83" width="10.33203125" style="25" customWidth="1"/>
    <col min="84" max="84" width="11.5546875" style="25" customWidth="1"/>
    <col min="85" max="85" width="10.33203125" style="25" customWidth="1"/>
    <col min="86" max="86" width="11.5546875" style="25" customWidth="1"/>
    <col min="87" max="16384" width="10.109375" style="25"/>
  </cols>
  <sheetData>
    <row r="1" spans="1:86" ht="27" customHeight="1">
      <c r="A1" s="53" t="s">
        <v>0</v>
      </c>
      <c r="B1" s="54" t="s">
        <v>1</v>
      </c>
      <c r="C1" s="48" t="s">
        <v>2</v>
      </c>
      <c r="D1" s="54" t="s">
        <v>3</v>
      </c>
      <c r="E1" s="52" t="s">
        <v>4</v>
      </c>
      <c r="F1" s="55" t="s">
        <v>5</v>
      </c>
      <c r="G1" s="55" t="s">
        <v>6</v>
      </c>
      <c r="H1" s="55" t="s">
        <v>7</v>
      </c>
      <c r="I1" s="52" t="s">
        <v>8</v>
      </c>
      <c r="J1" s="56" t="s">
        <v>434</v>
      </c>
      <c r="K1" s="57" t="s">
        <v>10</v>
      </c>
      <c r="L1" s="58" t="s">
        <v>435</v>
      </c>
      <c r="M1" s="52" t="s">
        <v>436</v>
      </c>
      <c r="N1" s="52" t="s">
        <v>13</v>
      </c>
      <c r="O1" s="59"/>
      <c r="P1" s="52"/>
      <c r="Q1" s="52" t="s">
        <v>14</v>
      </c>
      <c r="R1" s="52" t="s">
        <v>15</v>
      </c>
      <c r="S1" s="40"/>
      <c r="T1" s="40"/>
      <c r="U1" s="52" t="s">
        <v>12</v>
      </c>
      <c r="V1" s="52" t="s">
        <v>17</v>
      </c>
      <c r="W1" s="52" t="s">
        <v>18</v>
      </c>
      <c r="X1" s="61">
        <v>45931</v>
      </c>
      <c r="Y1" s="61"/>
      <c r="Z1" s="60">
        <f>+X1+1</f>
        <v>45932</v>
      </c>
      <c r="AA1" s="60"/>
      <c r="AB1" s="60">
        <f>+Z1+1</f>
        <v>45933</v>
      </c>
      <c r="AC1" s="60"/>
      <c r="AD1" s="60">
        <f>+AB1+1</f>
        <v>45934</v>
      </c>
      <c r="AE1" s="60"/>
      <c r="AF1" s="60">
        <f>+AD1+1</f>
        <v>45935</v>
      </c>
      <c r="AG1" s="60"/>
      <c r="AH1" s="60">
        <f>+AF1+1</f>
        <v>45936</v>
      </c>
      <c r="AI1" s="60"/>
      <c r="AJ1" s="60">
        <f>+AH1+1</f>
        <v>45937</v>
      </c>
      <c r="AK1" s="60"/>
      <c r="AL1" s="60">
        <f>+AJ1+1</f>
        <v>45938</v>
      </c>
      <c r="AM1" s="60"/>
      <c r="AN1" s="60"/>
      <c r="AO1" s="60">
        <f>+AL1+1</f>
        <v>45939</v>
      </c>
      <c r="AP1" s="60"/>
      <c r="AQ1" s="60">
        <f>+AO1+1</f>
        <v>45940</v>
      </c>
      <c r="AR1" s="60"/>
      <c r="AS1" s="60">
        <f t="shared" ref="AS1" si="0">+AQ1+1</f>
        <v>45941</v>
      </c>
      <c r="AT1" s="60"/>
      <c r="AU1" s="60">
        <f>+AS1+1</f>
        <v>45942</v>
      </c>
      <c r="AV1" s="60"/>
      <c r="AW1" s="60">
        <f t="shared" ref="AW1" si="1">+AU1+1</f>
        <v>45943</v>
      </c>
      <c r="AX1" s="60"/>
      <c r="AY1" s="60">
        <f t="shared" ref="AY1" si="2">+AW1+1</f>
        <v>45944</v>
      </c>
      <c r="AZ1" s="60"/>
      <c r="BA1" s="60">
        <f t="shared" ref="BA1" si="3">+AY1+1</f>
        <v>45945</v>
      </c>
      <c r="BB1" s="60"/>
      <c r="BC1" s="60">
        <f t="shared" ref="BC1" si="4">+BA1+1</f>
        <v>45946</v>
      </c>
      <c r="BD1" s="60"/>
      <c r="BE1" s="60">
        <f t="shared" ref="BE1" si="5">+BC1+1</f>
        <v>45947</v>
      </c>
      <c r="BF1" s="60"/>
      <c r="BG1" s="60">
        <f t="shared" ref="BG1" si="6">+BE1+1</f>
        <v>45948</v>
      </c>
      <c r="BH1" s="60"/>
      <c r="BI1" s="60">
        <f t="shared" ref="BI1" si="7">+BG1+1</f>
        <v>45949</v>
      </c>
      <c r="BJ1" s="60"/>
      <c r="BK1" s="60">
        <f t="shared" ref="BK1" si="8">+BI1+1</f>
        <v>45950</v>
      </c>
      <c r="BL1" s="60"/>
      <c r="BM1" s="60">
        <f t="shared" ref="BM1" si="9">+BK1+1</f>
        <v>45951</v>
      </c>
      <c r="BN1" s="60"/>
      <c r="BO1" s="60">
        <f t="shared" ref="BO1" si="10">+BM1+1</f>
        <v>45952</v>
      </c>
      <c r="BP1" s="60"/>
      <c r="BQ1" s="60">
        <f t="shared" ref="BQ1" si="11">+BO1+1</f>
        <v>45953</v>
      </c>
      <c r="BR1" s="60"/>
      <c r="BS1" s="60">
        <f t="shared" ref="BS1" si="12">+BQ1+1</f>
        <v>45954</v>
      </c>
      <c r="BT1" s="60"/>
      <c r="BU1" s="60">
        <f t="shared" ref="BU1" si="13">+BS1+1</f>
        <v>45955</v>
      </c>
      <c r="BV1" s="60"/>
      <c r="BW1" s="60">
        <f t="shared" ref="BW1" si="14">+BU1+1</f>
        <v>45956</v>
      </c>
      <c r="BX1" s="60"/>
      <c r="BY1" s="60">
        <f t="shared" ref="BY1" si="15">+BW1+1</f>
        <v>45957</v>
      </c>
      <c r="BZ1" s="60"/>
      <c r="CA1" s="60">
        <f t="shared" ref="CA1" si="16">+BY1+1</f>
        <v>45958</v>
      </c>
      <c r="CB1" s="60"/>
      <c r="CC1" s="60">
        <f t="shared" ref="CC1" si="17">+CA1+1</f>
        <v>45959</v>
      </c>
      <c r="CD1" s="60"/>
      <c r="CE1" s="60">
        <f>+CC1+1</f>
        <v>45960</v>
      </c>
      <c r="CF1" s="60"/>
      <c r="CG1" s="60">
        <f t="shared" ref="CG1" si="18">+CE1+1</f>
        <v>45961</v>
      </c>
      <c r="CH1" s="60"/>
    </row>
    <row r="2" spans="1:86" ht="45.6" customHeight="1">
      <c r="A2" s="53"/>
      <c r="B2" s="54"/>
      <c r="C2" s="48"/>
      <c r="D2" s="54"/>
      <c r="E2" s="52"/>
      <c r="F2" s="55" t="s">
        <v>5</v>
      </c>
      <c r="G2" s="55"/>
      <c r="H2" s="55"/>
      <c r="I2" s="52"/>
      <c r="J2" s="56"/>
      <c r="K2" s="57"/>
      <c r="L2" s="58"/>
      <c r="M2" s="52"/>
      <c r="N2" s="40" t="s">
        <v>19</v>
      </c>
      <c r="O2" s="41" t="s">
        <v>20</v>
      </c>
      <c r="P2" s="6" t="s">
        <v>21</v>
      </c>
      <c r="Q2" s="52"/>
      <c r="R2" s="52"/>
      <c r="S2" s="40" t="s">
        <v>22</v>
      </c>
      <c r="T2" s="40" t="s">
        <v>23</v>
      </c>
      <c r="U2" s="52"/>
      <c r="V2" s="52"/>
      <c r="W2" s="52"/>
      <c r="X2" s="7" t="s">
        <v>24</v>
      </c>
      <c r="Y2" s="7" t="s">
        <v>25</v>
      </c>
      <c r="Z2" s="7" t="s">
        <v>24</v>
      </c>
      <c r="AA2" s="7" t="s">
        <v>25</v>
      </c>
      <c r="AB2" s="7" t="s">
        <v>24</v>
      </c>
      <c r="AC2" s="7" t="s">
        <v>25</v>
      </c>
      <c r="AD2" s="7" t="s">
        <v>24</v>
      </c>
      <c r="AE2" s="7" t="s">
        <v>26</v>
      </c>
      <c r="AF2" s="7" t="s">
        <v>24</v>
      </c>
      <c r="AG2" s="7" t="s">
        <v>25</v>
      </c>
      <c r="AH2" s="7" t="s">
        <v>437</v>
      </c>
      <c r="AI2" s="7" t="s">
        <v>25</v>
      </c>
      <c r="AJ2" s="7" t="s">
        <v>24</v>
      </c>
      <c r="AK2" s="7" t="s">
        <v>26</v>
      </c>
      <c r="AL2" s="7" t="s">
        <v>24</v>
      </c>
      <c r="AM2" s="7"/>
      <c r="AN2" s="7" t="s">
        <v>26</v>
      </c>
      <c r="AO2" s="7" t="s">
        <v>24</v>
      </c>
      <c r="AP2" s="7" t="s">
        <v>26</v>
      </c>
      <c r="AQ2" s="7" t="s">
        <v>24</v>
      </c>
      <c r="AR2" s="7" t="s">
        <v>26</v>
      </c>
      <c r="AS2" s="7" t="s">
        <v>24</v>
      </c>
      <c r="AT2" s="7" t="s">
        <v>26</v>
      </c>
      <c r="AU2" s="7" t="s">
        <v>24</v>
      </c>
      <c r="AV2" s="7" t="s">
        <v>26</v>
      </c>
      <c r="AW2" s="7" t="s">
        <v>24</v>
      </c>
      <c r="AX2" s="7" t="s">
        <v>26</v>
      </c>
      <c r="AY2" s="7" t="s">
        <v>24</v>
      </c>
      <c r="AZ2" s="7" t="s">
        <v>26</v>
      </c>
      <c r="BA2" s="7" t="s">
        <v>24</v>
      </c>
      <c r="BB2" s="7" t="s">
        <v>26</v>
      </c>
      <c r="BC2" s="7" t="s">
        <v>24</v>
      </c>
      <c r="BD2" s="7" t="s">
        <v>26</v>
      </c>
      <c r="BE2" s="7" t="s">
        <v>24</v>
      </c>
      <c r="BF2" s="7" t="s">
        <v>26</v>
      </c>
      <c r="BG2" s="7" t="s">
        <v>24</v>
      </c>
      <c r="BH2" s="7" t="s">
        <v>26</v>
      </c>
      <c r="BI2" s="7" t="s">
        <v>24</v>
      </c>
      <c r="BJ2" s="7" t="s">
        <v>26</v>
      </c>
      <c r="BK2" s="7" t="s">
        <v>24</v>
      </c>
      <c r="BL2" s="7" t="s">
        <v>26</v>
      </c>
      <c r="BM2" s="7" t="s">
        <v>24</v>
      </c>
      <c r="BN2" s="7" t="s">
        <v>26</v>
      </c>
      <c r="BO2" s="7" t="s">
        <v>24</v>
      </c>
      <c r="BP2" s="7" t="s">
        <v>26</v>
      </c>
      <c r="BQ2" s="7" t="s">
        <v>24</v>
      </c>
      <c r="BR2" s="7" t="s">
        <v>26</v>
      </c>
      <c r="BS2" s="7" t="s">
        <v>24</v>
      </c>
      <c r="BT2" s="7" t="s">
        <v>26</v>
      </c>
      <c r="BU2" s="7" t="s">
        <v>24</v>
      </c>
      <c r="BV2" s="7" t="s">
        <v>26</v>
      </c>
      <c r="BW2" s="7" t="s">
        <v>24</v>
      </c>
      <c r="BX2" s="7" t="s">
        <v>26</v>
      </c>
      <c r="BY2" s="7" t="s">
        <v>24</v>
      </c>
      <c r="BZ2" s="7" t="s">
        <v>26</v>
      </c>
      <c r="CA2" s="7" t="s">
        <v>24</v>
      </c>
      <c r="CB2" s="7" t="s">
        <v>26</v>
      </c>
      <c r="CC2" s="7" t="s">
        <v>24</v>
      </c>
      <c r="CD2" s="7" t="s">
        <v>26</v>
      </c>
      <c r="CE2" s="7" t="s">
        <v>24</v>
      </c>
      <c r="CF2" s="7" t="s">
        <v>26</v>
      </c>
      <c r="CG2" s="7" t="s">
        <v>24</v>
      </c>
      <c r="CH2" s="7" t="s">
        <v>26</v>
      </c>
    </row>
    <row r="3" spans="1:86" s="13" customFormat="1" ht="14.4" customHeight="1">
      <c r="A3" s="27" t="s">
        <v>438</v>
      </c>
      <c r="B3" s="4"/>
      <c r="C3" s="29"/>
      <c r="D3" s="29"/>
      <c r="E3" s="8"/>
      <c r="F3" s="36"/>
      <c r="G3" s="8" t="s">
        <v>437</v>
      </c>
      <c r="H3" s="8" t="s">
        <v>439</v>
      </c>
      <c r="I3" s="9">
        <f>SUBTOTAL(9,I84:I84)</f>
        <v>910</v>
      </c>
      <c r="J3" s="10">
        <f>SUBTOTAL(9,J4:J741)</f>
        <v>981349.0132903012</v>
      </c>
      <c r="K3" s="5"/>
      <c r="L3" s="9">
        <f>SUBTOTAL(9,L4:L741)</f>
        <v>1361</v>
      </c>
      <c r="M3" s="9">
        <f>SUBTOTAL(9,M4:M741)</f>
        <v>1276</v>
      </c>
      <c r="N3" s="8"/>
      <c r="O3" s="9">
        <f>SUBTOTAL(9,O4:O741)</f>
        <v>36379</v>
      </c>
      <c r="P3" s="9">
        <f>SUBTOTAL(9,P4:P741)</f>
        <v>637232.71329030127</v>
      </c>
      <c r="Q3" s="8"/>
      <c r="R3" s="8"/>
      <c r="S3" s="8"/>
      <c r="T3" s="8"/>
      <c r="U3" s="9">
        <f>SUBTOTAL(9,U4:U741)</f>
        <v>1276</v>
      </c>
      <c r="V3" s="8"/>
      <c r="W3" s="8"/>
      <c r="X3" s="9">
        <f t="shared" ref="X3:BC3" si="19">SUBTOTAL(9,X4:X741)</f>
        <v>2</v>
      </c>
      <c r="Y3" s="9">
        <f t="shared" si="19"/>
        <v>0</v>
      </c>
      <c r="Z3" s="9">
        <f t="shared" si="19"/>
        <v>2</v>
      </c>
      <c r="AA3" s="9">
        <f t="shared" si="19"/>
        <v>0</v>
      </c>
      <c r="AB3" s="9">
        <f t="shared" si="19"/>
        <v>11</v>
      </c>
      <c r="AC3" s="9">
        <f t="shared" si="19"/>
        <v>0</v>
      </c>
      <c r="AD3" s="9">
        <f t="shared" si="19"/>
        <v>22</v>
      </c>
      <c r="AE3" s="9">
        <f t="shared" si="19"/>
        <v>0</v>
      </c>
      <c r="AF3" s="9">
        <f t="shared" si="19"/>
        <v>0</v>
      </c>
      <c r="AG3" s="9">
        <f t="shared" si="19"/>
        <v>0</v>
      </c>
      <c r="AH3" s="31">
        <f t="shared" si="19"/>
        <v>6</v>
      </c>
      <c r="AI3" s="9">
        <f t="shared" si="19"/>
        <v>0</v>
      </c>
      <c r="AJ3" s="9">
        <f t="shared" si="19"/>
        <v>5</v>
      </c>
      <c r="AK3" s="9">
        <f t="shared" si="19"/>
        <v>0</v>
      </c>
      <c r="AL3" s="9">
        <f t="shared" si="19"/>
        <v>15</v>
      </c>
      <c r="AM3" s="9">
        <f t="shared" si="19"/>
        <v>0</v>
      </c>
      <c r="AN3" s="9">
        <f t="shared" si="19"/>
        <v>0</v>
      </c>
      <c r="AO3" s="9">
        <f t="shared" si="19"/>
        <v>0</v>
      </c>
      <c r="AP3" s="9">
        <f t="shared" si="19"/>
        <v>0</v>
      </c>
      <c r="AQ3" s="9">
        <f t="shared" si="19"/>
        <v>9</v>
      </c>
      <c r="AR3" s="9">
        <f t="shared" si="19"/>
        <v>0</v>
      </c>
      <c r="AS3" s="9">
        <f t="shared" si="19"/>
        <v>0</v>
      </c>
      <c r="AT3" s="9">
        <f t="shared" si="19"/>
        <v>0</v>
      </c>
      <c r="AU3" s="9">
        <f t="shared" si="19"/>
        <v>0</v>
      </c>
      <c r="AV3" s="9">
        <f t="shared" si="19"/>
        <v>0</v>
      </c>
      <c r="AW3" s="9">
        <f t="shared" si="19"/>
        <v>2</v>
      </c>
      <c r="AX3" s="9">
        <f t="shared" si="19"/>
        <v>0</v>
      </c>
      <c r="AY3" s="9">
        <f t="shared" si="19"/>
        <v>7</v>
      </c>
      <c r="AZ3" s="9">
        <f t="shared" si="19"/>
        <v>0</v>
      </c>
      <c r="BA3" s="9">
        <f t="shared" si="19"/>
        <v>4</v>
      </c>
      <c r="BB3" s="9">
        <f t="shared" si="19"/>
        <v>0</v>
      </c>
      <c r="BC3" s="9">
        <f t="shared" si="19"/>
        <v>0</v>
      </c>
      <c r="BD3" s="9">
        <f t="shared" ref="BD3:CI3" si="20">SUBTOTAL(9,BD4:BD741)</f>
        <v>0</v>
      </c>
      <c r="BE3" s="9">
        <f t="shared" si="20"/>
        <v>0</v>
      </c>
      <c r="BF3" s="9">
        <f t="shared" si="20"/>
        <v>0</v>
      </c>
      <c r="BG3" s="9">
        <f t="shared" si="20"/>
        <v>0</v>
      </c>
      <c r="BH3" s="9">
        <f t="shared" si="20"/>
        <v>0</v>
      </c>
      <c r="BI3" s="9">
        <f t="shared" si="20"/>
        <v>0</v>
      </c>
      <c r="BJ3" s="9">
        <f t="shared" si="20"/>
        <v>0</v>
      </c>
      <c r="BK3" s="9">
        <f t="shared" si="20"/>
        <v>0</v>
      </c>
      <c r="BL3" s="9">
        <f t="shared" si="20"/>
        <v>0</v>
      </c>
      <c r="BM3" s="9">
        <f t="shared" si="20"/>
        <v>0</v>
      </c>
      <c r="BN3" s="9">
        <f t="shared" si="20"/>
        <v>0</v>
      </c>
      <c r="BO3" s="9">
        <f t="shared" si="20"/>
        <v>0</v>
      </c>
      <c r="BP3" s="9">
        <f t="shared" si="20"/>
        <v>0</v>
      </c>
      <c r="BQ3" s="9">
        <f t="shared" si="20"/>
        <v>0</v>
      </c>
      <c r="BR3" s="9">
        <f t="shared" si="20"/>
        <v>0</v>
      </c>
      <c r="BS3" s="9">
        <f t="shared" si="20"/>
        <v>0</v>
      </c>
      <c r="BT3" s="9">
        <f t="shared" si="20"/>
        <v>0</v>
      </c>
      <c r="BU3" s="9">
        <f t="shared" si="20"/>
        <v>0</v>
      </c>
      <c r="BV3" s="9">
        <f t="shared" si="20"/>
        <v>0</v>
      </c>
      <c r="BW3" s="9">
        <f t="shared" si="20"/>
        <v>0</v>
      </c>
      <c r="BX3" s="9">
        <f t="shared" si="20"/>
        <v>0</v>
      </c>
      <c r="BY3" s="9">
        <f t="shared" si="20"/>
        <v>0</v>
      </c>
      <c r="BZ3" s="9">
        <f t="shared" si="20"/>
        <v>0</v>
      </c>
      <c r="CA3" s="9">
        <f t="shared" si="20"/>
        <v>0</v>
      </c>
      <c r="CB3" s="9">
        <f t="shared" si="20"/>
        <v>0</v>
      </c>
      <c r="CC3" s="9">
        <f t="shared" si="20"/>
        <v>0</v>
      </c>
      <c r="CD3" s="9">
        <f t="shared" si="20"/>
        <v>0</v>
      </c>
      <c r="CE3" s="9">
        <f t="shared" si="20"/>
        <v>0</v>
      </c>
      <c r="CF3" s="9">
        <f t="shared" si="20"/>
        <v>0</v>
      </c>
      <c r="CG3" s="9">
        <f t="shared" si="20"/>
        <v>0</v>
      </c>
      <c r="CH3" s="9">
        <f t="shared" si="20"/>
        <v>0</v>
      </c>
    </row>
    <row r="4" spans="1:86">
      <c r="A4" s="33">
        <v>45601</v>
      </c>
      <c r="B4" s="1" t="s">
        <v>440</v>
      </c>
      <c r="C4" s="1" t="s">
        <v>440</v>
      </c>
      <c r="D4" s="1"/>
      <c r="E4" s="38" t="s">
        <v>50</v>
      </c>
      <c r="F4" s="38">
        <v>70</v>
      </c>
      <c r="G4" s="38" t="s">
        <v>441</v>
      </c>
      <c r="H4" s="38">
        <v>52</v>
      </c>
      <c r="I4" s="38">
        <v>469</v>
      </c>
      <c r="J4" s="11">
        <f t="shared" ref="J4:J24" si="21">IFERROR(IF(AND(V4=3,U4&gt;0),I4,I4*U4),"Verify")</f>
        <v>469</v>
      </c>
      <c r="K4" s="5">
        <f t="shared" ref="K4:K13" si="22">+J4/(F4*H4*10^-5)</f>
        <v>12884.615384615385</v>
      </c>
      <c r="L4" s="39">
        <v>1</v>
      </c>
      <c r="M4" s="37">
        <f t="shared" ref="M4:M13" si="23">+L4-X4-Z4-AD4-AB4-AF4-AH4-AJ4-AL4-AO4-AQ4-AS4-AU4-AW4-AY4-BA4-BC4-BE4-BG4-BI4-BK4-BM4-BO4-BQ4-BS4-BU4-BW4-BY4-CA4-CC4-CE4-CG4</f>
        <v>1</v>
      </c>
      <c r="N4" s="38"/>
      <c r="O4" s="46"/>
      <c r="P4" s="42">
        <f t="shared" ref="P4:P24" si="24">+J4-O4</f>
        <v>469</v>
      </c>
      <c r="Q4" s="38"/>
      <c r="R4" s="38" t="s">
        <v>442</v>
      </c>
      <c r="S4" s="38"/>
      <c r="T4" s="38"/>
      <c r="U4" s="37">
        <f t="shared" ref="U4" si="25">+L4-X4-Z4-AD4-AB4-AF4-AH4-AJ4-AL4-AO4-AQ4-AS4-AU4-AW4-AY4-BA4-BC4-BE4-BG4-BI4-BK4-BM4-BO4-BQ4-BS4-BU4-BW4-BY4-CA4-CC4-CE4-CG4</f>
        <v>1</v>
      </c>
      <c r="V4" s="38">
        <v>4</v>
      </c>
      <c r="W4" s="38" t="s">
        <v>443</v>
      </c>
      <c r="X4" s="38"/>
      <c r="Y4" s="38"/>
      <c r="Z4" s="38"/>
      <c r="AA4" s="38"/>
      <c r="AB4" s="38"/>
      <c r="AC4" s="38"/>
      <c r="AD4" s="38"/>
      <c r="AE4" s="38"/>
      <c r="AF4" s="38"/>
      <c r="AG4" s="43"/>
      <c r="AH4" s="44"/>
      <c r="AI4" s="45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</row>
    <row r="5" spans="1:86" ht="43.2">
      <c r="A5" s="33">
        <v>45645</v>
      </c>
      <c r="B5" s="1" t="s">
        <v>444</v>
      </c>
      <c r="C5" s="1" t="s">
        <v>444</v>
      </c>
      <c r="D5" s="1"/>
      <c r="E5" s="38" t="s">
        <v>293</v>
      </c>
      <c r="F5" s="38">
        <v>152</v>
      </c>
      <c r="G5" s="38" t="s">
        <v>294</v>
      </c>
      <c r="H5" s="38">
        <v>77.7</v>
      </c>
      <c r="I5" s="38">
        <f>2361/2</f>
        <v>1180.5</v>
      </c>
      <c r="J5" s="11">
        <f t="shared" si="21"/>
        <v>1180.5</v>
      </c>
      <c r="K5" s="5">
        <f t="shared" si="22"/>
        <v>9995.4277585856526</v>
      </c>
      <c r="L5" s="39">
        <v>1</v>
      </c>
      <c r="M5" s="37">
        <f t="shared" si="23"/>
        <v>1</v>
      </c>
      <c r="N5" s="38"/>
      <c r="O5" s="46"/>
      <c r="P5" s="42">
        <f t="shared" si="24"/>
        <v>1180.5</v>
      </c>
      <c r="Q5" s="38" t="s">
        <v>445</v>
      </c>
      <c r="R5" s="38"/>
      <c r="S5" s="38" t="s">
        <v>446</v>
      </c>
      <c r="T5" s="38"/>
      <c r="U5" s="37">
        <f t="shared" ref="U5:U30" si="26">+L5-X5-Z5-AD5-AB5-AF5-AH5-AJ5-AL5-AO5-AQ5-AS5-AU5-AW5-AY5-BA5-BC5-BE5-BG5-BI5-BK5-BM5-BO5-BQ5-BS5-BU5-BW5-BY5-CA5-CC5-CE5-CG5</f>
        <v>1</v>
      </c>
      <c r="V5" s="38">
        <v>3</v>
      </c>
      <c r="W5" s="38" t="s">
        <v>447</v>
      </c>
      <c r="X5" s="38"/>
      <c r="Y5" s="38"/>
      <c r="Z5" s="38"/>
      <c r="AA5" s="38"/>
      <c r="AB5" s="38"/>
      <c r="AC5" s="38"/>
      <c r="AD5" s="38"/>
      <c r="AE5" s="38"/>
      <c r="AF5" s="38"/>
      <c r="AG5" s="43"/>
      <c r="AH5" s="44"/>
      <c r="AI5" s="45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</row>
    <row r="6" spans="1:86">
      <c r="A6" s="33">
        <v>45748</v>
      </c>
      <c r="B6" s="1" t="s">
        <v>111</v>
      </c>
      <c r="C6" s="1" t="s">
        <v>111</v>
      </c>
      <c r="D6" s="1"/>
      <c r="E6" s="38" t="s">
        <v>92</v>
      </c>
      <c r="F6" s="38">
        <v>120</v>
      </c>
      <c r="G6" s="38" t="s">
        <v>448</v>
      </c>
      <c r="H6" s="38">
        <v>116</v>
      </c>
      <c r="I6" s="38">
        <v>750</v>
      </c>
      <c r="J6" s="11">
        <f t="shared" si="21"/>
        <v>750</v>
      </c>
      <c r="K6" s="5">
        <f t="shared" si="22"/>
        <v>5387.9310344827582</v>
      </c>
      <c r="L6" s="39">
        <v>1</v>
      </c>
      <c r="M6" s="37">
        <f t="shared" si="23"/>
        <v>1</v>
      </c>
      <c r="N6" s="38"/>
      <c r="O6" s="46"/>
      <c r="P6" s="42">
        <f t="shared" si="24"/>
        <v>750</v>
      </c>
      <c r="Q6" s="38" t="s">
        <v>449</v>
      </c>
      <c r="R6" s="38"/>
      <c r="S6" s="38"/>
      <c r="T6" s="38"/>
      <c r="U6" s="37">
        <f t="shared" si="26"/>
        <v>1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43"/>
      <c r="AH6" s="44"/>
      <c r="AI6" s="45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</row>
    <row r="7" spans="1:86">
      <c r="A7" s="33">
        <v>45625</v>
      </c>
      <c r="B7" s="1" t="s">
        <v>300</v>
      </c>
      <c r="C7" s="1" t="s">
        <v>300</v>
      </c>
      <c r="D7" s="1"/>
      <c r="E7" s="38" t="s">
        <v>37</v>
      </c>
      <c r="F7" s="38">
        <v>350</v>
      </c>
      <c r="G7" s="38" t="s">
        <v>301</v>
      </c>
      <c r="H7" s="38">
        <v>168</v>
      </c>
      <c r="I7" s="38">
        <f>13290/10</f>
        <v>1329</v>
      </c>
      <c r="J7" s="11">
        <f t="shared" si="21"/>
        <v>1329</v>
      </c>
      <c r="K7" s="5">
        <f t="shared" si="22"/>
        <v>2260.2040816326526</v>
      </c>
      <c r="L7" s="39">
        <v>1</v>
      </c>
      <c r="M7" s="37">
        <f t="shared" si="23"/>
        <v>1</v>
      </c>
      <c r="N7" s="38"/>
      <c r="O7" s="46"/>
      <c r="P7" s="42">
        <f t="shared" si="24"/>
        <v>1329</v>
      </c>
      <c r="Q7" s="38"/>
      <c r="R7" s="38"/>
      <c r="S7" s="38"/>
      <c r="T7" s="38"/>
      <c r="U7" s="37">
        <f t="shared" si="26"/>
        <v>1</v>
      </c>
      <c r="V7" s="38">
        <v>4</v>
      </c>
      <c r="W7" s="38" t="s">
        <v>450</v>
      </c>
      <c r="X7" s="38"/>
      <c r="Y7" s="38"/>
      <c r="Z7" s="38"/>
      <c r="AA7" s="38"/>
      <c r="AB7" s="38"/>
      <c r="AC7" s="38"/>
      <c r="AD7" s="38"/>
      <c r="AE7" s="38"/>
      <c r="AF7" s="38"/>
      <c r="AG7" s="43"/>
      <c r="AH7" s="44"/>
      <c r="AI7" s="45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</row>
    <row r="8" spans="1:86">
      <c r="A8" s="33">
        <v>45614</v>
      </c>
      <c r="B8" s="1" t="s">
        <v>451</v>
      </c>
      <c r="C8" s="1" t="s">
        <v>451</v>
      </c>
      <c r="D8" s="1"/>
      <c r="E8" s="38" t="s">
        <v>37</v>
      </c>
      <c r="F8" s="38">
        <v>450</v>
      </c>
      <c r="G8" s="38" t="s">
        <v>55</v>
      </c>
      <c r="H8" s="38">
        <v>137</v>
      </c>
      <c r="I8" s="38">
        <v>1085</v>
      </c>
      <c r="J8" s="11">
        <f t="shared" si="21"/>
        <v>1085</v>
      </c>
      <c r="K8" s="5">
        <f t="shared" si="22"/>
        <v>1759.9351175993511</v>
      </c>
      <c r="L8" s="39">
        <v>1</v>
      </c>
      <c r="M8" s="37">
        <f t="shared" si="23"/>
        <v>1</v>
      </c>
      <c r="N8" s="38"/>
      <c r="O8" s="46"/>
      <c r="P8" s="42">
        <f t="shared" si="24"/>
        <v>1085</v>
      </c>
      <c r="Q8" s="38"/>
      <c r="R8" s="38"/>
      <c r="S8" s="38"/>
      <c r="T8" s="38"/>
      <c r="U8" s="37">
        <f t="shared" si="26"/>
        <v>1</v>
      </c>
      <c r="V8" s="38">
        <v>4</v>
      </c>
      <c r="W8" s="38" t="s">
        <v>452</v>
      </c>
      <c r="X8" s="38"/>
      <c r="Y8" s="38"/>
      <c r="Z8" s="38"/>
      <c r="AA8" s="38"/>
      <c r="AB8" s="38"/>
      <c r="AC8" s="38"/>
      <c r="AD8" s="38"/>
      <c r="AE8" s="38"/>
      <c r="AF8" s="38"/>
      <c r="AG8" s="43"/>
      <c r="AH8" s="44"/>
      <c r="AI8" s="45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</row>
    <row r="9" spans="1:86">
      <c r="A9" s="33">
        <v>45638</v>
      </c>
      <c r="B9" s="1" t="s">
        <v>453</v>
      </c>
      <c r="C9" s="1" t="s">
        <v>453</v>
      </c>
      <c r="D9" s="1"/>
      <c r="E9" s="38" t="s">
        <v>37</v>
      </c>
      <c r="F9" s="38">
        <v>450</v>
      </c>
      <c r="G9" s="38" t="s">
        <v>55</v>
      </c>
      <c r="H9" s="38">
        <v>83.8</v>
      </c>
      <c r="I9" s="38">
        <v>664</v>
      </c>
      <c r="J9" s="11">
        <f t="shared" si="21"/>
        <v>664</v>
      </c>
      <c r="K9" s="5">
        <f t="shared" si="22"/>
        <v>1760.8061522142666</v>
      </c>
      <c r="L9" s="39">
        <v>1</v>
      </c>
      <c r="M9" s="37">
        <f t="shared" si="23"/>
        <v>1</v>
      </c>
      <c r="N9" s="38"/>
      <c r="O9" s="46"/>
      <c r="P9" s="42">
        <f t="shared" si="24"/>
        <v>664</v>
      </c>
      <c r="Q9" s="38"/>
      <c r="R9" s="38"/>
      <c r="S9" s="38"/>
      <c r="T9" s="38"/>
      <c r="U9" s="37">
        <f t="shared" si="26"/>
        <v>1</v>
      </c>
      <c r="V9" s="38">
        <v>4</v>
      </c>
      <c r="W9" s="38" t="s">
        <v>454</v>
      </c>
      <c r="X9" s="38"/>
      <c r="Y9" s="38"/>
      <c r="Z9" s="38"/>
      <c r="AA9" s="38"/>
      <c r="AB9" s="38"/>
      <c r="AC9" s="38"/>
      <c r="AD9" s="38"/>
      <c r="AE9" s="38"/>
      <c r="AF9" s="38"/>
      <c r="AG9" s="43"/>
      <c r="AH9" s="44"/>
      <c r="AI9" s="45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</row>
    <row r="10" spans="1:86">
      <c r="A10" s="33">
        <v>45638</v>
      </c>
      <c r="B10" s="1" t="s">
        <v>455</v>
      </c>
      <c r="C10" s="1" t="s">
        <v>455</v>
      </c>
      <c r="D10" s="1" t="s">
        <v>456</v>
      </c>
      <c r="E10" s="38" t="s">
        <v>37</v>
      </c>
      <c r="F10" s="38">
        <v>500</v>
      </c>
      <c r="G10" s="38" t="s">
        <v>55</v>
      </c>
      <c r="H10" s="38">
        <v>66</v>
      </c>
      <c r="I10" s="38">
        <v>512</v>
      </c>
      <c r="J10" s="11">
        <f t="shared" si="21"/>
        <v>1024</v>
      </c>
      <c r="K10" s="5">
        <f t="shared" si="22"/>
        <v>3103.030303030303</v>
      </c>
      <c r="L10" s="39">
        <v>2</v>
      </c>
      <c r="M10" s="37">
        <f t="shared" si="23"/>
        <v>2</v>
      </c>
      <c r="N10" s="38"/>
      <c r="O10" s="46"/>
      <c r="P10" s="42">
        <f t="shared" si="24"/>
        <v>1024</v>
      </c>
      <c r="Q10" s="38"/>
      <c r="R10" s="38"/>
      <c r="S10" s="38"/>
      <c r="T10" s="38"/>
      <c r="U10" s="37">
        <f t="shared" si="26"/>
        <v>2</v>
      </c>
      <c r="V10" s="38">
        <v>4</v>
      </c>
      <c r="W10" s="38" t="s">
        <v>454</v>
      </c>
      <c r="X10" s="38"/>
      <c r="Y10" s="38"/>
      <c r="Z10" s="38"/>
      <c r="AA10" s="38"/>
      <c r="AB10" s="38"/>
      <c r="AC10" s="38"/>
      <c r="AD10" s="38"/>
      <c r="AE10" s="38"/>
      <c r="AF10" s="38"/>
      <c r="AG10" s="43"/>
      <c r="AH10" s="44"/>
      <c r="AI10" s="45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</row>
    <row r="11" spans="1:86">
      <c r="A11" s="33">
        <v>45638</v>
      </c>
      <c r="B11" s="1" t="s">
        <v>457</v>
      </c>
      <c r="C11" s="1" t="s">
        <v>457</v>
      </c>
      <c r="D11" s="1" t="s">
        <v>458</v>
      </c>
      <c r="E11" s="38" t="s">
        <v>37</v>
      </c>
      <c r="F11" s="38">
        <v>550</v>
      </c>
      <c r="G11" s="38" t="s">
        <v>55</v>
      </c>
      <c r="H11" s="38">
        <v>88.9</v>
      </c>
      <c r="I11" s="38">
        <v>1125</v>
      </c>
      <c r="J11" s="11">
        <f t="shared" si="21"/>
        <v>1125</v>
      </c>
      <c r="K11" s="5">
        <f t="shared" si="22"/>
        <v>2300.8487575416707</v>
      </c>
      <c r="L11" s="39">
        <v>1</v>
      </c>
      <c r="M11" s="37">
        <f t="shared" si="23"/>
        <v>1</v>
      </c>
      <c r="N11" s="38"/>
      <c r="O11" s="46"/>
      <c r="P11" s="42">
        <f t="shared" si="24"/>
        <v>1125</v>
      </c>
      <c r="Q11" s="38"/>
      <c r="R11" s="38"/>
      <c r="S11" s="38"/>
      <c r="T11" s="38"/>
      <c r="U11" s="37">
        <f t="shared" si="26"/>
        <v>1</v>
      </c>
      <c r="V11" s="38">
        <v>4</v>
      </c>
      <c r="W11" s="38" t="s">
        <v>454</v>
      </c>
      <c r="X11" s="38"/>
      <c r="Y11" s="38"/>
      <c r="Z11" s="38"/>
      <c r="AA11" s="38"/>
      <c r="AB11" s="38"/>
      <c r="AC11" s="38"/>
      <c r="AD11" s="38"/>
      <c r="AE11" s="38"/>
      <c r="AF11" s="38"/>
      <c r="AG11" s="43"/>
      <c r="AH11" s="44"/>
      <c r="AI11" s="45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</row>
    <row r="12" spans="1:86">
      <c r="A12" s="33">
        <v>45638</v>
      </c>
      <c r="B12" s="1" t="s">
        <v>453</v>
      </c>
      <c r="C12" s="1" t="s">
        <v>453</v>
      </c>
      <c r="D12" s="1"/>
      <c r="E12" s="38" t="s">
        <v>37</v>
      </c>
      <c r="F12" s="38">
        <v>450</v>
      </c>
      <c r="G12" s="38" t="s">
        <v>55</v>
      </c>
      <c r="H12" s="38">
        <v>83.8</v>
      </c>
      <c r="I12" s="38">
        <v>618.5</v>
      </c>
      <c r="J12" s="11">
        <f t="shared" si="21"/>
        <v>1237</v>
      </c>
      <c r="K12" s="5">
        <f t="shared" si="22"/>
        <v>3280.297003447361</v>
      </c>
      <c r="L12" s="39">
        <v>2</v>
      </c>
      <c r="M12" s="37">
        <f t="shared" si="23"/>
        <v>2</v>
      </c>
      <c r="N12" s="38"/>
      <c r="O12" s="46"/>
      <c r="P12" s="42">
        <f t="shared" si="24"/>
        <v>1237</v>
      </c>
      <c r="Q12" s="38"/>
      <c r="R12" s="38"/>
      <c r="S12" s="38"/>
      <c r="T12" s="38"/>
      <c r="U12" s="37">
        <f t="shared" si="26"/>
        <v>2</v>
      </c>
      <c r="V12" s="38">
        <v>4</v>
      </c>
      <c r="W12" s="38" t="s">
        <v>454</v>
      </c>
      <c r="X12" s="38"/>
      <c r="Y12" s="38"/>
      <c r="Z12" s="38"/>
      <c r="AA12" s="38"/>
      <c r="AB12" s="38"/>
      <c r="AC12" s="38"/>
      <c r="AD12" s="38"/>
      <c r="AE12" s="38"/>
      <c r="AF12" s="38"/>
      <c r="AG12" s="43"/>
      <c r="AH12" s="44"/>
      <c r="AI12" s="45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</row>
    <row r="13" spans="1:86">
      <c r="A13" s="33">
        <v>45638</v>
      </c>
      <c r="B13" s="1" t="s">
        <v>455</v>
      </c>
      <c r="C13" s="1" t="s">
        <v>455</v>
      </c>
      <c r="D13" s="1" t="s">
        <v>456</v>
      </c>
      <c r="E13" s="38" t="s">
        <v>37</v>
      </c>
      <c r="F13" s="38">
        <v>500</v>
      </c>
      <c r="G13" s="38" t="s">
        <v>55</v>
      </c>
      <c r="H13" s="38">
        <v>66</v>
      </c>
      <c r="I13" s="38">
        <v>512</v>
      </c>
      <c r="J13" s="11">
        <f t="shared" si="21"/>
        <v>1024</v>
      </c>
      <c r="K13" s="5">
        <f t="shared" si="22"/>
        <v>3103.030303030303</v>
      </c>
      <c r="L13" s="39">
        <v>2</v>
      </c>
      <c r="M13" s="37">
        <f t="shared" si="23"/>
        <v>2</v>
      </c>
      <c r="N13" s="38"/>
      <c r="O13" s="46"/>
      <c r="P13" s="42">
        <f t="shared" si="24"/>
        <v>1024</v>
      </c>
      <c r="Q13" s="38"/>
      <c r="R13" s="38"/>
      <c r="S13" s="38"/>
      <c r="T13" s="38"/>
      <c r="U13" s="37">
        <f t="shared" si="26"/>
        <v>2</v>
      </c>
      <c r="V13" s="38">
        <v>4</v>
      </c>
      <c r="W13" s="38" t="s">
        <v>454</v>
      </c>
      <c r="X13" s="38"/>
      <c r="Y13" s="38"/>
      <c r="Z13" s="38"/>
      <c r="AA13" s="38"/>
      <c r="AB13" s="38"/>
      <c r="AC13" s="38"/>
      <c r="AD13" s="38"/>
      <c r="AE13" s="38"/>
      <c r="AF13" s="38"/>
      <c r="AG13" s="43"/>
      <c r="AH13" s="44"/>
      <c r="AI13" s="45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</row>
    <row r="14" spans="1:86">
      <c r="A14" s="33">
        <v>45638</v>
      </c>
      <c r="B14" s="1" t="s">
        <v>459</v>
      </c>
      <c r="C14" s="1" t="s">
        <v>459</v>
      </c>
      <c r="D14" s="1"/>
      <c r="E14" s="38" t="s">
        <v>37</v>
      </c>
      <c r="F14" s="38">
        <v>450</v>
      </c>
      <c r="G14" s="38" t="s">
        <v>55</v>
      </c>
      <c r="H14" s="38">
        <v>81.3</v>
      </c>
      <c r="I14" s="38">
        <v>599</v>
      </c>
      <c r="J14" s="11">
        <f t="shared" si="21"/>
        <v>599</v>
      </c>
      <c r="K14" s="5">
        <f t="shared" ref="K14:K27" si="27">+J14/(F14*H14*10^-5)</f>
        <v>1637.2830394970615</v>
      </c>
      <c r="L14" s="39">
        <v>1</v>
      </c>
      <c r="M14" s="37">
        <f t="shared" ref="M14:M27" si="28">+L14-X14-Z14-AD14-AB14-AF14-AH14-AJ14-AL14-AO14-AQ14-AS14-AU14-AW14-AY14-BA14-BC14-BE14-BG14-BI14-BK14-BM14-BO14-BQ14-BS14-BU14-BW14-BY14-CA14-CC14-CE14-CG14</f>
        <v>1</v>
      </c>
      <c r="N14" s="38"/>
      <c r="O14" s="46"/>
      <c r="P14" s="42">
        <f t="shared" si="24"/>
        <v>599</v>
      </c>
      <c r="Q14" s="38"/>
      <c r="R14" s="38"/>
      <c r="S14" s="38"/>
      <c r="T14" s="38"/>
      <c r="U14" s="37">
        <f t="shared" si="26"/>
        <v>1</v>
      </c>
      <c r="V14" s="38">
        <v>4</v>
      </c>
      <c r="W14" s="38" t="s">
        <v>454</v>
      </c>
      <c r="X14" s="38"/>
      <c r="Y14" s="38"/>
      <c r="Z14" s="38"/>
      <c r="AA14" s="38"/>
      <c r="AB14" s="38"/>
      <c r="AC14" s="38"/>
      <c r="AD14" s="38"/>
      <c r="AE14" s="38"/>
      <c r="AF14" s="38"/>
      <c r="AG14" s="43"/>
      <c r="AH14" s="44"/>
      <c r="AI14" s="45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</row>
    <row r="15" spans="1:86">
      <c r="A15" s="33">
        <v>45638</v>
      </c>
      <c r="B15" s="1" t="s">
        <v>457</v>
      </c>
      <c r="C15" s="1" t="s">
        <v>457</v>
      </c>
      <c r="D15" s="1" t="s">
        <v>458</v>
      </c>
      <c r="E15" s="38" t="s">
        <v>37</v>
      </c>
      <c r="F15" s="38">
        <v>550</v>
      </c>
      <c r="G15" s="38" t="s">
        <v>55</v>
      </c>
      <c r="H15" s="38">
        <v>88.9</v>
      </c>
      <c r="I15" s="38">
        <v>1125</v>
      </c>
      <c r="J15" s="11">
        <f t="shared" si="21"/>
        <v>2250</v>
      </c>
      <c r="K15" s="5">
        <f t="shared" si="27"/>
        <v>4601.6975150833414</v>
      </c>
      <c r="L15" s="39">
        <v>2</v>
      </c>
      <c r="M15" s="37">
        <f t="shared" si="28"/>
        <v>2</v>
      </c>
      <c r="N15" s="38"/>
      <c r="O15" s="46"/>
      <c r="P15" s="42">
        <f t="shared" si="24"/>
        <v>2250</v>
      </c>
      <c r="Q15" s="38"/>
      <c r="R15" s="38"/>
      <c r="S15" s="38"/>
      <c r="T15" s="38"/>
      <c r="U15" s="37">
        <f t="shared" si="26"/>
        <v>2</v>
      </c>
      <c r="V15" s="38">
        <v>4</v>
      </c>
      <c r="W15" s="38" t="s">
        <v>454</v>
      </c>
      <c r="X15" s="38"/>
      <c r="Y15" s="38"/>
      <c r="Z15" s="38"/>
      <c r="AA15" s="38"/>
      <c r="AB15" s="38"/>
      <c r="AC15" s="38"/>
      <c r="AD15" s="38"/>
      <c r="AE15" s="38"/>
      <c r="AF15" s="38"/>
      <c r="AG15" s="43"/>
      <c r="AH15" s="44"/>
      <c r="AI15" s="45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</row>
    <row r="16" spans="1:86">
      <c r="A16" s="33">
        <v>45720</v>
      </c>
      <c r="B16" s="1" t="s">
        <v>460</v>
      </c>
      <c r="C16" s="1" t="s">
        <v>460</v>
      </c>
      <c r="D16" s="1"/>
      <c r="E16" s="38" t="s">
        <v>37</v>
      </c>
      <c r="F16" s="38">
        <v>280</v>
      </c>
      <c r="G16" s="38" t="s">
        <v>55</v>
      </c>
      <c r="H16" s="38">
        <v>100</v>
      </c>
      <c r="I16" s="38">
        <v>829</v>
      </c>
      <c r="J16" s="11">
        <f t="shared" si="21"/>
        <v>829</v>
      </c>
      <c r="K16" s="5">
        <f t="shared" si="27"/>
        <v>2960.7142857142853</v>
      </c>
      <c r="L16" s="39">
        <v>1</v>
      </c>
      <c r="M16" s="37">
        <f t="shared" si="28"/>
        <v>1</v>
      </c>
      <c r="N16" s="38"/>
      <c r="O16" s="46"/>
      <c r="P16" s="42">
        <f t="shared" si="24"/>
        <v>829</v>
      </c>
      <c r="Q16" s="38"/>
      <c r="R16" s="38"/>
      <c r="S16" s="38"/>
      <c r="T16" s="38"/>
      <c r="U16" s="37">
        <f t="shared" si="26"/>
        <v>1</v>
      </c>
      <c r="V16" s="38"/>
      <c r="W16" s="38" t="s">
        <v>461</v>
      </c>
      <c r="X16" s="38"/>
      <c r="Y16" s="38"/>
      <c r="Z16" s="38"/>
      <c r="AA16" s="38"/>
      <c r="AB16" s="38"/>
      <c r="AC16" s="38"/>
      <c r="AD16" s="38"/>
      <c r="AE16" s="38"/>
      <c r="AF16" s="38"/>
      <c r="AG16" s="43"/>
      <c r="AH16" s="44"/>
      <c r="AI16" s="45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</row>
    <row r="17" spans="1:86">
      <c r="A17" s="33">
        <v>45477</v>
      </c>
      <c r="B17" s="1" t="s">
        <v>462</v>
      </c>
      <c r="C17" s="1" t="s">
        <v>463</v>
      </c>
      <c r="D17" s="1"/>
      <c r="E17" s="38" t="s">
        <v>37</v>
      </c>
      <c r="F17" s="38">
        <v>350</v>
      </c>
      <c r="G17" s="38" t="s">
        <v>301</v>
      </c>
      <c r="H17" s="38">
        <v>84</v>
      </c>
      <c r="I17" s="38">
        <v>800</v>
      </c>
      <c r="J17" s="11">
        <f t="shared" si="21"/>
        <v>800</v>
      </c>
      <c r="K17" s="5">
        <f t="shared" si="27"/>
        <v>2721.0884353741494</v>
      </c>
      <c r="L17" s="39">
        <v>1</v>
      </c>
      <c r="M17" s="37">
        <f t="shared" si="28"/>
        <v>1</v>
      </c>
      <c r="N17" s="38"/>
      <c r="O17" s="46"/>
      <c r="P17" s="42">
        <f t="shared" si="24"/>
        <v>800</v>
      </c>
      <c r="Q17" s="38"/>
      <c r="R17" s="38"/>
      <c r="S17" s="38"/>
      <c r="T17" s="38"/>
      <c r="U17" s="37">
        <f t="shared" si="26"/>
        <v>1</v>
      </c>
      <c r="V17" s="38">
        <v>4</v>
      </c>
      <c r="W17" s="38" t="s">
        <v>464</v>
      </c>
      <c r="X17" s="38"/>
      <c r="Y17" s="38"/>
      <c r="Z17" s="38"/>
      <c r="AA17" s="38"/>
      <c r="AB17" s="38"/>
      <c r="AC17" s="38"/>
      <c r="AD17" s="38"/>
      <c r="AE17" s="38"/>
      <c r="AF17" s="38"/>
      <c r="AG17" s="43"/>
      <c r="AH17" s="44"/>
      <c r="AI17" s="45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</row>
    <row r="18" spans="1:86">
      <c r="A18" s="33">
        <v>45789</v>
      </c>
      <c r="B18" s="1" t="s">
        <v>465</v>
      </c>
      <c r="C18" s="1" t="s">
        <v>465</v>
      </c>
      <c r="D18" s="1"/>
      <c r="E18" s="38" t="s">
        <v>41</v>
      </c>
      <c r="F18" s="38">
        <v>90</v>
      </c>
      <c r="G18" s="38" t="s">
        <v>402</v>
      </c>
      <c r="H18" s="38">
        <v>90</v>
      </c>
      <c r="I18" s="38">
        <v>1080</v>
      </c>
      <c r="J18" s="11">
        <f t="shared" si="21"/>
        <v>1080</v>
      </c>
      <c r="K18" s="5">
        <f t="shared" si="27"/>
        <v>13333.333333333332</v>
      </c>
      <c r="L18" s="39">
        <v>1</v>
      </c>
      <c r="M18" s="37">
        <f t="shared" si="28"/>
        <v>1</v>
      </c>
      <c r="N18" s="38"/>
      <c r="O18" s="46"/>
      <c r="P18" s="42">
        <f t="shared" si="24"/>
        <v>1080</v>
      </c>
      <c r="Q18" s="38" t="s">
        <v>466</v>
      </c>
      <c r="R18" s="38"/>
      <c r="S18" s="38"/>
      <c r="T18" s="38"/>
      <c r="U18" s="37">
        <f t="shared" si="26"/>
        <v>1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43"/>
      <c r="AH18" s="44"/>
      <c r="AI18" s="45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</row>
    <row r="19" spans="1:86">
      <c r="A19" s="33">
        <v>45789</v>
      </c>
      <c r="B19" s="1" t="s">
        <v>465</v>
      </c>
      <c r="C19" s="1" t="s">
        <v>465</v>
      </c>
      <c r="D19" s="1"/>
      <c r="E19" s="38" t="s">
        <v>41</v>
      </c>
      <c r="F19" s="38">
        <v>90</v>
      </c>
      <c r="G19" s="38" t="s">
        <v>402</v>
      </c>
      <c r="H19" s="38">
        <v>90</v>
      </c>
      <c r="I19" s="38">
        <v>1074</v>
      </c>
      <c r="J19" s="11">
        <f t="shared" si="21"/>
        <v>1074</v>
      </c>
      <c r="K19" s="5">
        <f t="shared" si="27"/>
        <v>13259.259259259259</v>
      </c>
      <c r="L19" s="39">
        <v>1</v>
      </c>
      <c r="M19" s="37">
        <f t="shared" si="28"/>
        <v>1</v>
      </c>
      <c r="N19" s="38"/>
      <c r="O19" s="46"/>
      <c r="P19" s="42">
        <f t="shared" si="24"/>
        <v>1074</v>
      </c>
      <c r="Q19" s="38" t="s">
        <v>467</v>
      </c>
      <c r="R19" s="38"/>
      <c r="S19" s="38"/>
      <c r="T19" s="38"/>
      <c r="U19" s="37">
        <f t="shared" si="26"/>
        <v>1</v>
      </c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43"/>
      <c r="AH19" s="44"/>
      <c r="AI19" s="45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</row>
    <row r="20" spans="1:86">
      <c r="A20" s="33">
        <v>45789</v>
      </c>
      <c r="B20" s="1" t="s">
        <v>468</v>
      </c>
      <c r="C20" s="1" t="s">
        <v>468</v>
      </c>
      <c r="D20" s="1"/>
      <c r="E20" s="38" t="s">
        <v>41</v>
      </c>
      <c r="F20" s="38">
        <v>95</v>
      </c>
      <c r="G20" s="38" t="s">
        <v>402</v>
      </c>
      <c r="H20" s="38">
        <v>75</v>
      </c>
      <c r="I20" s="38">
        <v>874</v>
      </c>
      <c r="J20" s="11">
        <f t="shared" si="21"/>
        <v>874</v>
      </c>
      <c r="K20" s="5">
        <f t="shared" si="27"/>
        <v>12266.666666666666</v>
      </c>
      <c r="L20" s="39">
        <v>1</v>
      </c>
      <c r="M20" s="37">
        <f t="shared" si="28"/>
        <v>1</v>
      </c>
      <c r="N20" s="38"/>
      <c r="O20" s="46"/>
      <c r="P20" s="42">
        <f t="shared" si="24"/>
        <v>874</v>
      </c>
      <c r="Q20" s="38" t="s">
        <v>469</v>
      </c>
      <c r="R20" s="38"/>
      <c r="S20" s="38"/>
      <c r="T20" s="38"/>
      <c r="U20" s="37">
        <f t="shared" si="26"/>
        <v>1</v>
      </c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43"/>
      <c r="AH20" s="44"/>
      <c r="AI20" s="45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</row>
    <row r="21" spans="1:86">
      <c r="A21" s="33">
        <v>45796</v>
      </c>
      <c r="B21" s="1" t="s">
        <v>470</v>
      </c>
      <c r="C21" s="1" t="s">
        <v>470</v>
      </c>
      <c r="D21" s="1" t="s">
        <v>471</v>
      </c>
      <c r="E21" s="38" t="s">
        <v>41</v>
      </c>
      <c r="F21" s="38">
        <v>90</v>
      </c>
      <c r="G21" s="38" t="s">
        <v>402</v>
      </c>
      <c r="H21" s="38">
        <v>85</v>
      </c>
      <c r="I21" s="38">
        <v>932</v>
      </c>
      <c r="J21" s="11">
        <f t="shared" si="21"/>
        <v>932</v>
      </c>
      <c r="K21" s="5">
        <f t="shared" si="27"/>
        <v>12183.00653594771</v>
      </c>
      <c r="L21" s="39">
        <v>1</v>
      </c>
      <c r="M21" s="37">
        <f t="shared" si="28"/>
        <v>1</v>
      </c>
      <c r="N21" s="38"/>
      <c r="O21" s="46"/>
      <c r="P21" s="42">
        <f t="shared" si="24"/>
        <v>932</v>
      </c>
      <c r="Q21" s="38"/>
      <c r="R21" s="38"/>
      <c r="S21" s="38"/>
      <c r="T21" s="38" t="s">
        <v>472</v>
      </c>
      <c r="U21" s="37">
        <f t="shared" si="26"/>
        <v>1</v>
      </c>
      <c r="V21" s="38" t="s">
        <v>473</v>
      </c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43"/>
      <c r="AH21" s="44"/>
      <c r="AI21" s="45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</row>
    <row r="22" spans="1:86">
      <c r="A22" s="33">
        <v>45796</v>
      </c>
      <c r="B22" s="1" t="s">
        <v>470</v>
      </c>
      <c r="C22" s="1" t="s">
        <v>470</v>
      </c>
      <c r="D22" s="1" t="s">
        <v>471</v>
      </c>
      <c r="E22" s="38" t="s">
        <v>41</v>
      </c>
      <c r="F22" s="38">
        <v>90</v>
      </c>
      <c r="G22" s="38" t="s">
        <v>402</v>
      </c>
      <c r="H22" s="38">
        <v>85</v>
      </c>
      <c r="I22" s="38">
        <v>936</v>
      </c>
      <c r="J22" s="11">
        <f t="shared" si="21"/>
        <v>936</v>
      </c>
      <c r="K22" s="5">
        <f t="shared" si="27"/>
        <v>12235.294117647058</v>
      </c>
      <c r="L22" s="39">
        <v>1</v>
      </c>
      <c r="M22" s="37">
        <f t="shared" si="28"/>
        <v>1</v>
      </c>
      <c r="N22" s="38"/>
      <c r="O22" s="46"/>
      <c r="P22" s="42">
        <f t="shared" si="24"/>
        <v>936</v>
      </c>
      <c r="Q22" s="38"/>
      <c r="R22" s="38"/>
      <c r="S22" s="38"/>
      <c r="T22" s="38" t="s">
        <v>474</v>
      </c>
      <c r="U22" s="37">
        <f t="shared" si="26"/>
        <v>1</v>
      </c>
      <c r="V22" s="38" t="s">
        <v>473</v>
      </c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43"/>
      <c r="AH22" s="44"/>
      <c r="AI22" s="45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</row>
    <row r="23" spans="1:86">
      <c r="A23" s="33">
        <v>45796</v>
      </c>
      <c r="B23" s="1" t="s">
        <v>470</v>
      </c>
      <c r="C23" s="1" t="s">
        <v>470</v>
      </c>
      <c r="D23" s="1" t="s">
        <v>471</v>
      </c>
      <c r="E23" s="38" t="s">
        <v>41</v>
      </c>
      <c r="F23" s="38">
        <v>90</v>
      </c>
      <c r="G23" s="38" t="s">
        <v>402</v>
      </c>
      <c r="H23" s="38">
        <v>85</v>
      </c>
      <c r="I23" s="38">
        <v>982</v>
      </c>
      <c r="J23" s="11">
        <f t="shared" si="21"/>
        <v>982</v>
      </c>
      <c r="K23" s="5">
        <f t="shared" si="27"/>
        <v>12836.60130718954</v>
      </c>
      <c r="L23" s="39">
        <v>1</v>
      </c>
      <c r="M23" s="37">
        <f t="shared" si="28"/>
        <v>1</v>
      </c>
      <c r="N23" s="38"/>
      <c r="O23" s="46"/>
      <c r="P23" s="42">
        <f t="shared" si="24"/>
        <v>982</v>
      </c>
      <c r="Q23" s="38"/>
      <c r="R23" s="38"/>
      <c r="S23" s="38"/>
      <c r="T23" s="38" t="s">
        <v>475</v>
      </c>
      <c r="U23" s="37">
        <f t="shared" si="26"/>
        <v>1</v>
      </c>
      <c r="V23" s="38" t="s">
        <v>473</v>
      </c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43"/>
      <c r="AH23" s="44"/>
      <c r="AI23" s="45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</row>
    <row r="24" spans="1:86">
      <c r="A24" s="33">
        <v>45796</v>
      </c>
      <c r="B24" s="1" t="s">
        <v>470</v>
      </c>
      <c r="C24" s="1" t="s">
        <v>470</v>
      </c>
      <c r="D24" s="1" t="s">
        <v>471</v>
      </c>
      <c r="E24" s="38" t="s">
        <v>41</v>
      </c>
      <c r="F24" s="38">
        <v>90</v>
      </c>
      <c r="G24" s="38" t="s">
        <v>402</v>
      </c>
      <c r="H24" s="38">
        <v>85</v>
      </c>
      <c r="I24" s="38">
        <v>933</v>
      </c>
      <c r="J24" s="11">
        <f t="shared" si="21"/>
        <v>933</v>
      </c>
      <c r="K24" s="5">
        <f t="shared" si="27"/>
        <v>12196.078431372547</v>
      </c>
      <c r="L24" s="39">
        <v>1</v>
      </c>
      <c r="M24" s="37">
        <f t="shared" si="28"/>
        <v>1</v>
      </c>
      <c r="N24" s="38"/>
      <c r="O24" s="46"/>
      <c r="P24" s="42">
        <f t="shared" si="24"/>
        <v>933</v>
      </c>
      <c r="Q24" s="38"/>
      <c r="R24" s="38"/>
      <c r="S24" s="38"/>
      <c r="T24" s="38" t="s">
        <v>476</v>
      </c>
      <c r="U24" s="37">
        <f t="shared" si="26"/>
        <v>1</v>
      </c>
      <c r="V24" s="38" t="s">
        <v>473</v>
      </c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43"/>
      <c r="AH24" s="44"/>
      <c r="AI24" s="45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</row>
    <row r="25" spans="1:86">
      <c r="A25" s="33">
        <v>45796</v>
      </c>
      <c r="B25" s="1" t="s">
        <v>465</v>
      </c>
      <c r="C25" s="1" t="s">
        <v>465</v>
      </c>
      <c r="D25" s="1" t="s">
        <v>471</v>
      </c>
      <c r="E25" s="38" t="s">
        <v>41</v>
      </c>
      <c r="F25" s="38">
        <v>90</v>
      </c>
      <c r="G25" s="38" t="s">
        <v>402</v>
      </c>
      <c r="H25" s="38">
        <v>90</v>
      </c>
      <c r="I25" s="38">
        <v>1044</v>
      </c>
      <c r="J25" s="11">
        <f t="shared" ref="J25:J36" si="29">IFERROR(IF(AND(V25=3,U25&gt;0),I25,I25*U25),"Verify")</f>
        <v>1044</v>
      </c>
      <c r="K25" s="5">
        <f t="shared" si="27"/>
        <v>12888.888888888889</v>
      </c>
      <c r="L25" s="39">
        <v>1</v>
      </c>
      <c r="M25" s="37">
        <f t="shared" si="28"/>
        <v>1</v>
      </c>
      <c r="N25" s="38"/>
      <c r="O25" s="46"/>
      <c r="P25" s="42">
        <f t="shared" ref="P25:P36" si="30">+J25-O25</f>
        <v>1044</v>
      </c>
      <c r="Q25" s="38"/>
      <c r="R25" s="38"/>
      <c r="S25" s="38"/>
      <c r="T25" s="38"/>
      <c r="U25" s="37">
        <f t="shared" si="26"/>
        <v>1</v>
      </c>
      <c r="V25" s="38" t="s">
        <v>477</v>
      </c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43"/>
      <c r="AH25" s="44"/>
      <c r="AI25" s="45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</row>
    <row r="26" spans="1:86">
      <c r="A26" s="33">
        <v>45796</v>
      </c>
      <c r="B26" s="1" t="s">
        <v>465</v>
      </c>
      <c r="C26" s="1" t="s">
        <v>465</v>
      </c>
      <c r="D26" s="1" t="s">
        <v>471</v>
      </c>
      <c r="E26" s="38" t="s">
        <v>41</v>
      </c>
      <c r="F26" s="38">
        <v>90</v>
      </c>
      <c r="G26" s="38" t="s">
        <v>402</v>
      </c>
      <c r="H26" s="38">
        <v>90</v>
      </c>
      <c r="I26" s="38">
        <v>1066</v>
      </c>
      <c r="J26" s="11">
        <f t="shared" si="29"/>
        <v>1066</v>
      </c>
      <c r="K26" s="5">
        <f t="shared" si="27"/>
        <v>13160.493827160493</v>
      </c>
      <c r="L26" s="39">
        <v>1</v>
      </c>
      <c r="M26" s="37">
        <f t="shared" si="28"/>
        <v>1</v>
      </c>
      <c r="N26" s="38"/>
      <c r="O26" s="46"/>
      <c r="P26" s="42">
        <f t="shared" si="30"/>
        <v>1066</v>
      </c>
      <c r="Q26" s="38"/>
      <c r="R26" s="38"/>
      <c r="S26" s="38"/>
      <c r="T26" s="38"/>
      <c r="U26" s="37">
        <f t="shared" si="26"/>
        <v>1</v>
      </c>
      <c r="V26" s="38" t="s">
        <v>477</v>
      </c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43"/>
      <c r="AH26" s="44"/>
      <c r="AI26" s="45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</row>
    <row r="27" spans="1:86">
      <c r="A27" s="33">
        <v>45796</v>
      </c>
      <c r="B27" s="1" t="s">
        <v>465</v>
      </c>
      <c r="C27" s="1" t="s">
        <v>465</v>
      </c>
      <c r="D27" s="1" t="s">
        <v>471</v>
      </c>
      <c r="E27" s="38" t="s">
        <v>41</v>
      </c>
      <c r="F27" s="38">
        <v>90</v>
      </c>
      <c r="G27" s="38" t="s">
        <v>402</v>
      </c>
      <c r="H27" s="38">
        <v>90</v>
      </c>
      <c r="I27" s="38">
        <v>1048</v>
      </c>
      <c r="J27" s="11">
        <f t="shared" si="29"/>
        <v>1048</v>
      </c>
      <c r="K27" s="5">
        <f t="shared" si="27"/>
        <v>12938.271604938271</v>
      </c>
      <c r="L27" s="39">
        <v>1</v>
      </c>
      <c r="M27" s="37">
        <f t="shared" si="28"/>
        <v>1</v>
      </c>
      <c r="N27" s="38"/>
      <c r="O27" s="46"/>
      <c r="P27" s="42">
        <f t="shared" si="30"/>
        <v>1048</v>
      </c>
      <c r="Q27" s="38"/>
      <c r="R27" s="38"/>
      <c r="S27" s="38"/>
      <c r="T27" s="38"/>
      <c r="U27" s="37">
        <f t="shared" si="26"/>
        <v>1</v>
      </c>
      <c r="V27" s="38" t="s">
        <v>477</v>
      </c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43"/>
      <c r="AH27" s="44"/>
      <c r="AI27" s="45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</row>
    <row r="28" spans="1:86">
      <c r="A28" s="33">
        <v>45796</v>
      </c>
      <c r="B28" s="1" t="s">
        <v>465</v>
      </c>
      <c r="C28" s="1" t="s">
        <v>465</v>
      </c>
      <c r="D28" s="1" t="s">
        <v>471</v>
      </c>
      <c r="E28" s="38" t="s">
        <v>41</v>
      </c>
      <c r="F28" s="38">
        <v>90</v>
      </c>
      <c r="G28" s="38" t="s">
        <v>402</v>
      </c>
      <c r="H28" s="38">
        <v>90</v>
      </c>
      <c r="I28" s="38">
        <v>1066</v>
      </c>
      <c r="J28" s="11">
        <f t="shared" si="29"/>
        <v>1066</v>
      </c>
      <c r="K28" s="5">
        <f t="shared" ref="K28:K43" si="31">+J28/(F28*H28*10^-5)</f>
        <v>13160.493827160493</v>
      </c>
      <c r="L28" s="39">
        <v>1</v>
      </c>
      <c r="M28" s="37">
        <f t="shared" ref="M28:M43" si="32">+L28-X28-Z28-AD28-AB28-AF28-AH28-AJ28-AL28-AO28-AQ28-AS28-AU28-AW28-AY28-BA28-BC28-BE28-BG28-BI28-BK28-BM28-BO28-BQ28-BS28-BU28-BW28-BY28-CA28-CC28-CE28-CG28</f>
        <v>1</v>
      </c>
      <c r="N28" s="38"/>
      <c r="O28" s="46"/>
      <c r="P28" s="42">
        <f t="shared" si="30"/>
        <v>1066</v>
      </c>
      <c r="Q28" s="38"/>
      <c r="R28" s="38"/>
      <c r="S28" s="38"/>
      <c r="T28" s="38"/>
      <c r="U28" s="37">
        <f t="shared" si="26"/>
        <v>1</v>
      </c>
      <c r="V28" s="38" t="s">
        <v>477</v>
      </c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43"/>
      <c r="AH28" s="44"/>
      <c r="AI28" s="45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</row>
    <row r="29" spans="1:86">
      <c r="A29" s="33">
        <v>45796</v>
      </c>
      <c r="B29" s="1" t="s">
        <v>465</v>
      </c>
      <c r="C29" s="1" t="s">
        <v>465</v>
      </c>
      <c r="D29" s="1" t="s">
        <v>471</v>
      </c>
      <c r="E29" s="38" t="s">
        <v>41</v>
      </c>
      <c r="F29" s="38">
        <v>90</v>
      </c>
      <c r="G29" s="38" t="s">
        <v>402</v>
      </c>
      <c r="H29" s="38">
        <v>90</v>
      </c>
      <c r="I29" s="38">
        <v>1066</v>
      </c>
      <c r="J29" s="11">
        <f t="shared" si="29"/>
        <v>1066</v>
      </c>
      <c r="K29" s="5">
        <f t="shared" si="31"/>
        <v>13160.493827160493</v>
      </c>
      <c r="L29" s="39">
        <v>1</v>
      </c>
      <c r="M29" s="37">
        <f t="shared" si="32"/>
        <v>1</v>
      </c>
      <c r="N29" s="38"/>
      <c r="O29" s="46"/>
      <c r="P29" s="42">
        <f t="shared" si="30"/>
        <v>1066</v>
      </c>
      <c r="Q29" s="38"/>
      <c r="R29" s="38"/>
      <c r="S29" s="38"/>
      <c r="T29" s="38"/>
      <c r="U29" s="37">
        <f t="shared" si="26"/>
        <v>1</v>
      </c>
      <c r="V29" s="38" t="s">
        <v>477</v>
      </c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43"/>
      <c r="AH29" s="44"/>
      <c r="AI29" s="45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</row>
    <row r="30" spans="1:86">
      <c r="A30" s="33">
        <v>45796</v>
      </c>
      <c r="B30" s="1" t="s">
        <v>478</v>
      </c>
      <c r="C30" s="1" t="s">
        <v>478</v>
      </c>
      <c r="D30" s="1" t="s">
        <v>471</v>
      </c>
      <c r="E30" s="38" t="s">
        <v>41</v>
      </c>
      <c r="F30" s="38">
        <v>90</v>
      </c>
      <c r="G30" s="38" t="s">
        <v>402</v>
      </c>
      <c r="H30" s="38">
        <v>80</v>
      </c>
      <c r="I30" s="38">
        <v>960</v>
      </c>
      <c r="J30" s="11">
        <f t="shared" si="29"/>
        <v>960</v>
      </c>
      <c r="K30" s="5">
        <f t="shared" si="31"/>
        <v>13333.333333333332</v>
      </c>
      <c r="L30" s="39">
        <v>1</v>
      </c>
      <c r="M30" s="37">
        <f t="shared" si="32"/>
        <v>1</v>
      </c>
      <c r="N30" s="38"/>
      <c r="O30" s="46"/>
      <c r="P30" s="42">
        <f t="shared" si="30"/>
        <v>960</v>
      </c>
      <c r="Q30" s="38"/>
      <c r="R30" s="38"/>
      <c r="S30" s="38"/>
      <c r="T30" s="38"/>
      <c r="U30" s="37">
        <f t="shared" si="26"/>
        <v>1</v>
      </c>
      <c r="V30" s="38" t="s">
        <v>477</v>
      </c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43"/>
      <c r="AH30" s="44"/>
      <c r="AI30" s="45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</row>
    <row r="31" spans="1:86">
      <c r="A31" s="33">
        <v>45796</v>
      </c>
      <c r="B31" s="1" t="s">
        <v>465</v>
      </c>
      <c r="C31" s="1" t="s">
        <v>465</v>
      </c>
      <c r="D31" s="1" t="s">
        <v>471</v>
      </c>
      <c r="E31" s="38" t="s">
        <v>41</v>
      </c>
      <c r="F31" s="38">
        <v>90</v>
      </c>
      <c r="G31" s="38" t="s">
        <v>402</v>
      </c>
      <c r="H31" s="38">
        <v>90</v>
      </c>
      <c r="I31" s="38">
        <v>1016</v>
      </c>
      <c r="J31" s="11">
        <f t="shared" si="29"/>
        <v>1016</v>
      </c>
      <c r="K31" s="5">
        <f t="shared" si="31"/>
        <v>12543.209876543209</v>
      </c>
      <c r="L31" s="39">
        <v>1</v>
      </c>
      <c r="M31" s="37">
        <f t="shared" si="32"/>
        <v>1</v>
      </c>
      <c r="N31" s="38"/>
      <c r="O31" s="46"/>
      <c r="P31" s="42">
        <f t="shared" si="30"/>
        <v>1016</v>
      </c>
      <c r="Q31" s="38"/>
      <c r="R31" s="38"/>
      <c r="S31" s="38"/>
      <c r="T31" s="38"/>
      <c r="U31" s="37">
        <f t="shared" ref="U31:U52" si="33">+L31-X31-Z31-AD31-AB31-AF31-AH31-AJ31-AL31-AO31-AQ31-AS31-AU31-AW31-AY31-BA31-BC31-BE31-BG31-BI31-BK31-BM31-BO31-BQ31-BS31-BU31-BW31-BY31-CA31-CC31-CE31-CG31</f>
        <v>1</v>
      </c>
      <c r="V31" s="38" t="s">
        <v>477</v>
      </c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43"/>
      <c r="AH31" s="44"/>
      <c r="AI31" s="45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</row>
    <row r="32" spans="1:86">
      <c r="A32" s="33">
        <v>45796</v>
      </c>
      <c r="B32" s="1" t="s">
        <v>465</v>
      </c>
      <c r="C32" s="1" t="s">
        <v>465</v>
      </c>
      <c r="D32" s="1" t="s">
        <v>471</v>
      </c>
      <c r="E32" s="38" t="s">
        <v>41</v>
      </c>
      <c r="F32" s="38">
        <v>90</v>
      </c>
      <c r="G32" s="38" t="s">
        <v>402</v>
      </c>
      <c r="H32" s="38">
        <v>90</v>
      </c>
      <c r="I32" s="38">
        <v>1090</v>
      </c>
      <c r="J32" s="11">
        <f t="shared" si="29"/>
        <v>1090</v>
      </c>
      <c r="K32" s="5">
        <f t="shared" si="31"/>
        <v>13456.790123456789</v>
      </c>
      <c r="L32" s="39">
        <v>1</v>
      </c>
      <c r="M32" s="37">
        <f t="shared" si="32"/>
        <v>1</v>
      </c>
      <c r="N32" s="38"/>
      <c r="O32" s="46"/>
      <c r="P32" s="42">
        <f t="shared" si="30"/>
        <v>1090</v>
      </c>
      <c r="Q32" s="38"/>
      <c r="R32" s="38"/>
      <c r="S32" s="38"/>
      <c r="T32" s="38"/>
      <c r="U32" s="37">
        <f t="shared" si="33"/>
        <v>1</v>
      </c>
      <c r="V32" s="38" t="s">
        <v>477</v>
      </c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43"/>
      <c r="AH32" s="44"/>
      <c r="AI32" s="45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</row>
    <row r="33" spans="1:86">
      <c r="A33" s="33">
        <v>45796</v>
      </c>
      <c r="B33" s="1" t="s">
        <v>465</v>
      </c>
      <c r="C33" s="1" t="s">
        <v>465</v>
      </c>
      <c r="D33" s="1" t="s">
        <v>471</v>
      </c>
      <c r="E33" s="38" t="s">
        <v>41</v>
      </c>
      <c r="F33" s="38">
        <v>90</v>
      </c>
      <c r="G33" s="38" t="s">
        <v>402</v>
      </c>
      <c r="H33" s="38">
        <v>90</v>
      </c>
      <c r="I33" s="38">
        <v>1054</v>
      </c>
      <c r="J33" s="11">
        <f t="shared" si="29"/>
        <v>1054</v>
      </c>
      <c r="K33" s="5">
        <f t="shared" si="31"/>
        <v>13012.345679012345</v>
      </c>
      <c r="L33" s="39">
        <v>1</v>
      </c>
      <c r="M33" s="37">
        <f t="shared" si="32"/>
        <v>1</v>
      </c>
      <c r="N33" s="38"/>
      <c r="O33" s="46"/>
      <c r="P33" s="42">
        <f t="shared" si="30"/>
        <v>1054</v>
      </c>
      <c r="Q33" s="38"/>
      <c r="R33" s="38"/>
      <c r="S33" s="38"/>
      <c r="T33" s="38"/>
      <c r="U33" s="37">
        <f t="shared" si="33"/>
        <v>1</v>
      </c>
      <c r="V33" s="38" t="s">
        <v>477</v>
      </c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43"/>
      <c r="AH33" s="44"/>
      <c r="AI33" s="45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</row>
    <row r="34" spans="1:86">
      <c r="A34" s="33">
        <v>45796</v>
      </c>
      <c r="B34" s="1" t="s">
        <v>479</v>
      </c>
      <c r="C34" s="1" t="s">
        <v>479</v>
      </c>
      <c r="D34" s="1" t="s">
        <v>471</v>
      </c>
      <c r="E34" s="38" t="s">
        <v>41</v>
      </c>
      <c r="F34" s="38">
        <v>100</v>
      </c>
      <c r="G34" s="38" t="s">
        <v>402</v>
      </c>
      <c r="H34" s="38">
        <v>75</v>
      </c>
      <c r="I34" s="38">
        <v>916</v>
      </c>
      <c r="J34" s="11">
        <f t="shared" si="29"/>
        <v>916</v>
      </c>
      <c r="K34" s="5">
        <f t="shared" si="31"/>
        <v>12213.333333333332</v>
      </c>
      <c r="L34" s="39">
        <v>1</v>
      </c>
      <c r="M34" s="37">
        <f t="shared" si="32"/>
        <v>1</v>
      </c>
      <c r="N34" s="38"/>
      <c r="O34" s="46"/>
      <c r="P34" s="42">
        <f t="shared" si="30"/>
        <v>916</v>
      </c>
      <c r="Q34" s="38"/>
      <c r="R34" s="38"/>
      <c r="S34" s="38"/>
      <c r="T34" s="38"/>
      <c r="U34" s="37">
        <f t="shared" si="33"/>
        <v>1</v>
      </c>
      <c r="V34" s="38" t="s">
        <v>477</v>
      </c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43"/>
      <c r="AH34" s="44"/>
      <c r="AI34" s="45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</row>
    <row r="35" spans="1:86">
      <c r="A35" s="33">
        <v>45796</v>
      </c>
      <c r="B35" s="1" t="s">
        <v>479</v>
      </c>
      <c r="C35" s="1" t="s">
        <v>479</v>
      </c>
      <c r="D35" s="1" t="s">
        <v>471</v>
      </c>
      <c r="E35" s="38" t="s">
        <v>41</v>
      </c>
      <c r="F35" s="38">
        <v>100</v>
      </c>
      <c r="G35" s="38" t="s">
        <v>402</v>
      </c>
      <c r="H35" s="38">
        <v>75</v>
      </c>
      <c r="I35" s="38">
        <v>912</v>
      </c>
      <c r="J35" s="11">
        <f t="shared" si="29"/>
        <v>912</v>
      </c>
      <c r="K35" s="5">
        <f t="shared" si="31"/>
        <v>12159.999999999998</v>
      </c>
      <c r="L35" s="39">
        <v>1</v>
      </c>
      <c r="M35" s="37">
        <f t="shared" si="32"/>
        <v>1</v>
      </c>
      <c r="N35" s="38"/>
      <c r="O35" s="46"/>
      <c r="P35" s="42">
        <f t="shared" si="30"/>
        <v>912</v>
      </c>
      <c r="Q35" s="38"/>
      <c r="R35" s="38"/>
      <c r="S35" s="38"/>
      <c r="T35" s="38"/>
      <c r="U35" s="37">
        <f t="shared" si="33"/>
        <v>1</v>
      </c>
      <c r="V35" s="38" t="s">
        <v>477</v>
      </c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43"/>
      <c r="AH35" s="44"/>
      <c r="AI35" s="45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</row>
    <row r="36" spans="1:86">
      <c r="A36" s="33">
        <v>45796</v>
      </c>
      <c r="B36" s="1" t="s">
        <v>479</v>
      </c>
      <c r="C36" s="1" t="s">
        <v>479</v>
      </c>
      <c r="D36" s="1" t="s">
        <v>471</v>
      </c>
      <c r="E36" s="38" t="s">
        <v>41</v>
      </c>
      <c r="F36" s="38">
        <v>100</v>
      </c>
      <c r="G36" s="38" t="s">
        <v>402</v>
      </c>
      <c r="H36" s="38">
        <v>75</v>
      </c>
      <c r="I36" s="38">
        <v>654</v>
      </c>
      <c r="J36" s="11">
        <f t="shared" si="29"/>
        <v>654</v>
      </c>
      <c r="K36" s="5">
        <f t="shared" si="31"/>
        <v>8719.9999999999982</v>
      </c>
      <c r="L36" s="39">
        <v>1</v>
      </c>
      <c r="M36" s="37">
        <f t="shared" si="32"/>
        <v>1</v>
      </c>
      <c r="N36" s="38"/>
      <c r="O36" s="46"/>
      <c r="P36" s="42">
        <f t="shared" si="30"/>
        <v>654</v>
      </c>
      <c r="Q36" s="38"/>
      <c r="R36" s="38"/>
      <c r="S36" s="38"/>
      <c r="T36" s="38"/>
      <c r="U36" s="37">
        <f t="shared" si="33"/>
        <v>1</v>
      </c>
      <c r="V36" s="38" t="s">
        <v>477</v>
      </c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43"/>
      <c r="AH36" s="44"/>
      <c r="AI36" s="45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</row>
    <row r="37" spans="1:86">
      <c r="A37" s="33">
        <v>45797</v>
      </c>
      <c r="B37" s="1" t="s">
        <v>468</v>
      </c>
      <c r="C37" s="1" t="s">
        <v>468</v>
      </c>
      <c r="D37" s="1"/>
      <c r="E37" s="38" t="s">
        <v>41</v>
      </c>
      <c r="F37" s="38">
        <v>95</v>
      </c>
      <c r="G37" s="38" t="s">
        <v>402</v>
      </c>
      <c r="H37" s="38">
        <v>75</v>
      </c>
      <c r="I37" s="38">
        <v>880</v>
      </c>
      <c r="J37" s="11">
        <f t="shared" ref="J37:J48" si="34">IFERROR(IF(AND(V37=3,U37&gt;0),I37,I37*U37),"Verify")</f>
        <v>880</v>
      </c>
      <c r="K37" s="5">
        <f t="shared" si="31"/>
        <v>12350.877192982454</v>
      </c>
      <c r="L37" s="39">
        <v>1</v>
      </c>
      <c r="M37" s="37">
        <f t="shared" si="32"/>
        <v>1</v>
      </c>
      <c r="N37" s="38"/>
      <c r="O37" s="46"/>
      <c r="P37" s="42">
        <f t="shared" ref="P37:P48" si="35">+J37-O37</f>
        <v>880</v>
      </c>
      <c r="Q37" s="38"/>
      <c r="R37" s="38"/>
      <c r="S37" s="38"/>
      <c r="T37" s="38"/>
      <c r="U37" s="37">
        <f t="shared" si="33"/>
        <v>1</v>
      </c>
      <c r="V37" s="38" t="s">
        <v>480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43"/>
      <c r="AH37" s="44"/>
      <c r="AI37" s="45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</row>
    <row r="38" spans="1:86">
      <c r="A38" s="33">
        <v>45797</v>
      </c>
      <c r="B38" s="1" t="s">
        <v>468</v>
      </c>
      <c r="C38" s="1" t="s">
        <v>468</v>
      </c>
      <c r="D38" s="1"/>
      <c r="E38" s="38" t="s">
        <v>41</v>
      </c>
      <c r="F38" s="38">
        <v>95</v>
      </c>
      <c r="G38" s="38" t="s">
        <v>402</v>
      </c>
      <c r="H38" s="38">
        <v>75</v>
      </c>
      <c r="I38" s="38">
        <v>876</v>
      </c>
      <c r="J38" s="11">
        <f t="shared" si="34"/>
        <v>876</v>
      </c>
      <c r="K38" s="5">
        <f t="shared" si="31"/>
        <v>12294.736842105262</v>
      </c>
      <c r="L38" s="39">
        <v>1</v>
      </c>
      <c r="M38" s="37">
        <f t="shared" si="32"/>
        <v>1</v>
      </c>
      <c r="N38" s="38"/>
      <c r="O38" s="46"/>
      <c r="P38" s="42">
        <f t="shared" si="35"/>
        <v>876</v>
      </c>
      <c r="Q38" s="38"/>
      <c r="R38" s="38"/>
      <c r="S38" s="38"/>
      <c r="T38" s="38"/>
      <c r="U38" s="37">
        <f t="shared" si="33"/>
        <v>1</v>
      </c>
      <c r="V38" s="38" t="s">
        <v>480</v>
      </c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43"/>
      <c r="AH38" s="44"/>
      <c r="AI38" s="45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</row>
    <row r="39" spans="1:86">
      <c r="A39" s="33">
        <v>45797</v>
      </c>
      <c r="B39" s="1" t="s">
        <v>468</v>
      </c>
      <c r="C39" s="1" t="s">
        <v>468</v>
      </c>
      <c r="D39" s="1"/>
      <c r="E39" s="38" t="s">
        <v>41</v>
      </c>
      <c r="F39" s="38">
        <v>95</v>
      </c>
      <c r="G39" s="38" t="s">
        <v>402</v>
      </c>
      <c r="H39" s="38">
        <v>75</v>
      </c>
      <c r="I39" s="38">
        <v>882</v>
      </c>
      <c r="J39" s="11">
        <f t="shared" si="34"/>
        <v>882</v>
      </c>
      <c r="K39" s="5">
        <f t="shared" si="31"/>
        <v>12378.947368421052</v>
      </c>
      <c r="L39" s="39">
        <v>1</v>
      </c>
      <c r="M39" s="37">
        <f t="shared" si="32"/>
        <v>1</v>
      </c>
      <c r="N39" s="38"/>
      <c r="O39" s="46"/>
      <c r="P39" s="42">
        <f t="shared" si="35"/>
        <v>882</v>
      </c>
      <c r="Q39" s="38"/>
      <c r="R39" s="38"/>
      <c r="S39" s="38"/>
      <c r="T39" s="38"/>
      <c r="U39" s="37">
        <f t="shared" si="33"/>
        <v>1</v>
      </c>
      <c r="V39" s="38" t="s">
        <v>480</v>
      </c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43"/>
      <c r="AH39" s="44"/>
      <c r="AI39" s="45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</row>
    <row r="40" spans="1:86">
      <c r="A40" s="33">
        <v>45797</v>
      </c>
      <c r="B40" s="1" t="s">
        <v>468</v>
      </c>
      <c r="C40" s="1" t="s">
        <v>468</v>
      </c>
      <c r="D40" s="1"/>
      <c r="E40" s="38" t="s">
        <v>41</v>
      </c>
      <c r="F40" s="38">
        <v>95</v>
      </c>
      <c r="G40" s="38" t="s">
        <v>402</v>
      </c>
      <c r="H40" s="38">
        <v>75</v>
      </c>
      <c r="I40" s="38">
        <v>882</v>
      </c>
      <c r="J40" s="11">
        <f t="shared" si="34"/>
        <v>882</v>
      </c>
      <c r="K40" s="5">
        <f t="shared" si="31"/>
        <v>12378.947368421052</v>
      </c>
      <c r="L40" s="39">
        <v>1</v>
      </c>
      <c r="M40" s="37">
        <f t="shared" si="32"/>
        <v>1</v>
      </c>
      <c r="N40" s="38"/>
      <c r="O40" s="46"/>
      <c r="P40" s="42">
        <f t="shared" si="35"/>
        <v>882</v>
      </c>
      <c r="Q40" s="38"/>
      <c r="R40" s="38"/>
      <c r="S40" s="38"/>
      <c r="T40" s="38"/>
      <c r="U40" s="37">
        <f t="shared" si="33"/>
        <v>1</v>
      </c>
      <c r="V40" s="38" t="s">
        <v>480</v>
      </c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43"/>
      <c r="AH40" s="44"/>
      <c r="AI40" s="45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</row>
    <row r="41" spans="1:86">
      <c r="A41" s="33">
        <v>45797</v>
      </c>
      <c r="B41" s="1" t="s">
        <v>468</v>
      </c>
      <c r="C41" s="1" t="s">
        <v>468</v>
      </c>
      <c r="D41" s="1"/>
      <c r="E41" s="38" t="s">
        <v>41</v>
      </c>
      <c r="F41" s="38">
        <v>95</v>
      </c>
      <c r="G41" s="38" t="s">
        <v>402</v>
      </c>
      <c r="H41" s="38">
        <v>75</v>
      </c>
      <c r="I41" s="38">
        <v>898</v>
      </c>
      <c r="J41" s="11">
        <f t="shared" si="34"/>
        <v>898</v>
      </c>
      <c r="K41" s="5">
        <f t="shared" si="31"/>
        <v>12603.508771929823</v>
      </c>
      <c r="L41" s="39">
        <v>1</v>
      </c>
      <c r="M41" s="37">
        <f t="shared" si="32"/>
        <v>1</v>
      </c>
      <c r="N41" s="38"/>
      <c r="O41" s="46"/>
      <c r="P41" s="42">
        <f t="shared" si="35"/>
        <v>898</v>
      </c>
      <c r="Q41" s="38"/>
      <c r="R41" s="38"/>
      <c r="S41" s="38"/>
      <c r="T41" s="38"/>
      <c r="U41" s="37">
        <f t="shared" si="33"/>
        <v>1</v>
      </c>
      <c r="V41" s="38" t="s">
        <v>480</v>
      </c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43"/>
      <c r="AH41" s="44"/>
      <c r="AI41" s="45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</row>
    <row r="42" spans="1:86">
      <c r="A42" s="33">
        <v>45797</v>
      </c>
      <c r="B42" s="1" t="s">
        <v>468</v>
      </c>
      <c r="C42" s="1" t="s">
        <v>468</v>
      </c>
      <c r="D42" s="1"/>
      <c r="E42" s="38" t="s">
        <v>41</v>
      </c>
      <c r="F42" s="38">
        <v>95</v>
      </c>
      <c r="G42" s="38" t="s">
        <v>402</v>
      </c>
      <c r="H42" s="38">
        <v>75</v>
      </c>
      <c r="I42" s="38">
        <v>884</v>
      </c>
      <c r="J42" s="11">
        <f t="shared" si="34"/>
        <v>884</v>
      </c>
      <c r="K42" s="5">
        <f t="shared" si="31"/>
        <v>12407.017543859647</v>
      </c>
      <c r="L42" s="39">
        <v>1</v>
      </c>
      <c r="M42" s="37">
        <f t="shared" si="32"/>
        <v>1</v>
      </c>
      <c r="N42" s="38"/>
      <c r="O42" s="46"/>
      <c r="P42" s="42">
        <f t="shared" si="35"/>
        <v>884</v>
      </c>
      <c r="Q42" s="38"/>
      <c r="R42" s="38"/>
      <c r="S42" s="38"/>
      <c r="T42" s="38"/>
      <c r="U42" s="37">
        <f t="shared" si="33"/>
        <v>1</v>
      </c>
      <c r="V42" s="38" t="s">
        <v>480</v>
      </c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43"/>
      <c r="AH42" s="44"/>
      <c r="AI42" s="45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</row>
    <row r="43" spans="1:86">
      <c r="A43" s="33">
        <v>45797</v>
      </c>
      <c r="B43" s="1" t="s">
        <v>468</v>
      </c>
      <c r="C43" s="1" t="s">
        <v>468</v>
      </c>
      <c r="D43" s="1"/>
      <c r="E43" s="38" t="s">
        <v>41</v>
      </c>
      <c r="F43" s="38">
        <v>95</v>
      </c>
      <c r="G43" s="38" t="s">
        <v>402</v>
      </c>
      <c r="H43" s="38">
        <v>75</v>
      </c>
      <c r="I43" s="38">
        <v>874</v>
      </c>
      <c r="J43" s="11">
        <f t="shared" si="34"/>
        <v>874</v>
      </c>
      <c r="K43" s="5">
        <f t="shared" si="31"/>
        <v>12266.666666666666</v>
      </c>
      <c r="L43" s="39">
        <v>1</v>
      </c>
      <c r="M43" s="37">
        <f t="shared" si="32"/>
        <v>1</v>
      </c>
      <c r="N43" s="38"/>
      <c r="O43" s="46"/>
      <c r="P43" s="42">
        <f t="shared" si="35"/>
        <v>874</v>
      </c>
      <c r="Q43" s="38"/>
      <c r="R43" s="38"/>
      <c r="S43" s="38"/>
      <c r="T43" s="38"/>
      <c r="U43" s="37">
        <f t="shared" si="33"/>
        <v>1</v>
      </c>
      <c r="V43" s="38" t="s">
        <v>480</v>
      </c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43"/>
      <c r="AH43" s="44"/>
      <c r="AI43" s="45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</row>
    <row r="44" spans="1:86">
      <c r="A44" s="33">
        <v>45797</v>
      </c>
      <c r="B44" s="1" t="s">
        <v>481</v>
      </c>
      <c r="C44" s="1" t="s">
        <v>481</v>
      </c>
      <c r="D44" s="1"/>
      <c r="E44" s="38" t="s">
        <v>41</v>
      </c>
      <c r="F44" s="38">
        <v>90</v>
      </c>
      <c r="G44" s="38" t="s">
        <v>402</v>
      </c>
      <c r="H44" s="38">
        <v>75</v>
      </c>
      <c r="I44" s="38">
        <v>850</v>
      </c>
      <c r="J44" s="11">
        <f t="shared" si="34"/>
        <v>850</v>
      </c>
      <c r="K44" s="5">
        <f t="shared" ref="K44:K64" si="36">+J44/(F44*H44*10^-5)</f>
        <v>12592.592592592591</v>
      </c>
      <c r="L44" s="39">
        <v>1</v>
      </c>
      <c r="M44" s="37">
        <f t="shared" ref="M44:M48" si="37">+L44-X44-Z44-AD44-AB44-AF44-AH44-AJ44-AL44-AO44-AQ44-AS44-AU44-AW44-AY44-BA44-BC44-BE44-BG44-BI44-BK44-BM44-BO44-BQ44-BS44-BU44-BW44-BY44-CA44-CC44-CE44-CG44</f>
        <v>1</v>
      </c>
      <c r="N44" s="38"/>
      <c r="O44" s="46"/>
      <c r="P44" s="42">
        <f t="shared" si="35"/>
        <v>850</v>
      </c>
      <c r="Q44" s="38"/>
      <c r="R44" s="38"/>
      <c r="S44" s="38"/>
      <c r="T44" s="38"/>
      <c r="U44" s="37">
        <f t="shared" si="33"/>
        <v>1</v>
      </c>
      <c r="V44" s="38" t="s">
        <v>482</v>
      </c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43"/>
      <c r="AH44" s="44"/>
      <c r="AI44" s="45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</row>
    <row r="45" spans="1:86">
      <c r="A45" s="33">
        <v>45797</v>
      </c>
      <c r="B45" s="1" t="s">
        <v>470</v>
      </c>
      <c r="C45" s="1" t="s">
        <v>470</v>
      </c>
      <c r="D45" s="1"/>
      <c r="E45" s="38" t="s">
        <v>41</v>
      </c>
      <c r="F45" s="38">
        <v>90</v>
      </c>
      <c r="G45" s="38" t="s">
        <v>402</v>
      </c>
      <c r="H45" s="38">
        <v>85</v>
      </c>
      <c r="I45" s="38">
        <v>930</v>
      </c>
      <c r="J45" s="11">
        <f t="shared" si="34"/>
        <v>930</v>
      </c>
      <c r="K45" s="5">
        <f t="shared" si="36"/>
        <v>12156.862745098037</v>
      </c>
      <c r="L45" s="39">
        <v>1</v>
      </c>
      <c r="M45" s="37">
        <f t="shared" si="37"/>
        <v>1</v>
      </c>
      <c r="N45" s="38"/>
      <c r="O45" s="46"/>
      <c r="P45" s="42">
        <f t="shared" si="35"/>
        <v>930</v>
      </c>
      <c r="Q45" s="38"/>
      <c r="R45" s="38"/>
      <c r="S45" s="38"/>
      <c r="T45" s="38"/>
      <c r="U45" s="37">
        <f t="shared" si="33"/>
        <v>1</v>
      </c>
      <c r="V45" s="38" t="s">
        <v>482</v>
      </c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43"/>
      <c r="AH45" s="44"/>
      <c r="AI45" s="45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</row>
    <row r="46" spans="1:86">
      <c r="A46" s="33">
        <v>45797</v>
      </c>
      <c r="B46" s="1" t="s">
        <v>470</v>
      </c>
      <c r="C46" s="1" t="s">
        <v>470</v>
      </c>
      <c r="D46" s="1"/>
      <c r="E46" s="38" t="s">
        <v>41</v>
      </c>
      <c r="F46" s="38">
        <v>90</v>
      </c>
      <c r="G46" s="38" t="s">
        <v>402</v>
      </c>
      <c r="H46" s="38">
        <v>85</v>
      </c>
      <c r="I46" s="38">
        <v>934</v>
      </c>
      <c r="J46" s="11">
        <f t="shared" si="34"/>
        <v>934</v>
      </c>
      <c r="K46" s="5">
        <f t="shared" si="36"/>
        <v>12209.150326797384</v>
      </c>
      <c r="L46" s="39">
        <v>1</v>
      </c>
      <c r="M46" s="37">
        <f t="shared" si="37"/>
        <v>1</v>
      </c>
      <c r="N46" s="38"/>
      <c r="O46" s="46"/>
      <c r="P46" s="42">
        <f t="shared" si="35"/>
        <v>934</v>
      </c>
      <c r="Q46" s="38"/>
      <c r="R46" s="38"/>
      <c r="S46" s="38"/>
      <c r="T46" s="38"/>
      <c r="U46" s="37">
        <f t="shared" si="33"/>
        <v>1</v>
      </c>
      <c r="V46" s="38" t="s">
        <v>482</v>
      </c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43"/>
      <c r="AH46" s="44"/>
      <c r="AI46" s="45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</row>
    <row r="47" spans="1:86">
      <c r="A47" s="33">
        <v>45797</v>
      </c>
      <c r="B47" s="1" t="s">
        <v>470</v>
      </c>
      <c r="C47" s="1" t="s">
        <v>470</v>
      </c>
      <c r="D47" s="1"/>
      <c r="E47" s="38" t="s">
        <v>41</v>
      </c>
      <c r="F47" s="38">
        <v>90</v>
      </c>
      <c r="G47" s="38" t="s">
        <v>402</v>
      </c>
      <c r="H47" s="38">
        <v>85</v>
      </c>
      <c r="I47" s="38">
        <v>1000</v>
      </c>
      <c r="J47" s="11">
        <f t="shared" si="34"/>
        <v>1000</v>
      </c>
      <c r="K47" s="5">
        <f t="shared" si="36"/>
        <v>13071.895424836599</v>
      </c>
      <c r="L47" s="39">
        <v>1</v>
      </c>
      <c r="M47" s="37">
        <f t="shared" si="37"/>
        <v>1</v>
      </c>
      <c r="N47" s="38"/>
      <c r="O47" s="46"/>
      <c r="P47" s="42">
        <f t="shared" si="35"/>
        <v>1000</v>
      </c>
      <c r="Q47" s="38"/>
      <c r="R47" s="38"/>
      <c r="S47" s="38"/>
      <c r="T47" s="38"/>
      <c r="U47" s="37">
        <f t="shared" si="33"/>
        <v>1</v>
      </c>
      <c r="V47" s="38" t="s">
        <v>482</v>
      </c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43"/>
      <c r="AH47" s="44"/>
      <c r="AI47" s="45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</row>
    <row r="48" spans="1:86">
      <c r="A48" s="33">
        <v>45797</v>
      </c>
      <c r="B48" s="1" t="s">
        <v>470</v>
      </c>
      <c r="C48" s="1" t="s">
        <v>470</v>
      </c>
      <c r="D48" s="1"/>
      <c r="E48" s="38" t="s">
        <v>41</v>
      </c>
      <c r="F48" s="38">
        <v>90</v>
      </c>
      <c r="G48" s="38" t="s">
        <v>402</v>
      </c>
      <c r="H48" s="38">
        <v>85</v>
      </c>
      <c r="I48" s="38">
        <v>883</v>
      </c>
      <c r="J48" s="11">
        <f t="shared" si="34"/>
        <v>883</v>
      </c>
      <c r="K48" s="5">
        <f t="shared" si="36"/>
        <v>11542.483660130718</v>
      </c>
      <c r="L48" s="39">
        <v>1</v>
      </c>
      <c r="M48" s="37">
        <f t="shared" si="37"/>
        <v>1</v>
      </c>
      <c r="N48" s="38"/>
      <c r="O48" s="46"/>
      <c r="P48" s="42">
        <f t="shared" si="35"/>
        <v>883</v>
      </c>
      <c r="Q48" s="38"/>
      <c r="R48" s="38"/>
      <c r="S48" s="38"/>
      <c r="T48" s="38"/>
      <c r="U48" s="37">
        <f t="shared" si="33"/>
        <v>1</v>
      </c>
      <c r="V48" s="38" t="s">
        <v>482</v>
      </c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43"/>
      <c r="AH48" s="44"/>
      <c r="AI48" s="45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</row>
    <row r="49" spans="1:86">
      <c r="A49" s="33">
        <v>45797</v>
      </c>
      <c r="B49" s="1" t="s">
        <v>481</v>
      </c>
      <c r="C49" s="1" t="s">
        <v>481</v>
      </c>
      <c r="D49" s="1"/>
      <c r="E49" s="38" t="s">
        <v>41</v>
      </c>
      <c r="F49" s="38">
        <v>90</v>
      </c>
      <c r="G49" s="38" t="s">
        <v>402</v>
      </c>
      <c r="H49" s="38">
        <v>75</v>
      </c>
      <c r="I49" s="38">
        <v>900</v>
      </c>
      <c r="J49" s="11">
        <f t="shared" ref="J49:J60" si="38">IFERROR(IF(AND(V49=3,U49&gt;0),I49,I49*U49),"Verify")</f>
        <v>900</v>
      </c>
      <c r="K49" s="5">
        <f t="shared" si="36"/>
        <v>13333.333333333332</v>
      </c>
      <c r="L49" s="39">
        <v>1</v>
      </c>
      <c r="M49" s="37">
        <f t="shared" ref="M49:M78" si="39">+L49-X49-Z49-AD49-AB49-AF49-AH49-AJ49-AL49-AO49-AQ49-AS49-AU49-AW49-AY49-BA49-BC49-BE49-BG49-BI49-BK49-BM49-BO49-BQ49-BS49-BU49-BW49-BY49-CA49-CC49-CE49-CG49</f>
        <v>1</v>
      </c>
      <c r="N49" s="38"/>
      <c r="O49" s="46"/>
      <c r="P49" s="42">
        <f t="shared" ref="P49:P60" si="40">+J49-O49</f>
        <v>900</v>
      </c>
      <c r="Q49" s="38"/>
      <c r="R49" s="38"/>
      <c r="S49" s="38"/>
      <c r="T49" s="38"/>
      <c r="U49" s="37">
        <f t="shared" si="33"/>
        <v>1</v>
      </c>
      <c r="V49" s="38" t="s">
        <v>483</v>
      </c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43"/>
      <c r="AH49" s="44"/>
      <c r="AI49" s="45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</row>
    <row r="50" spans="1:86">
      <c r="A50" s="33">
        <v>45797</v>
      </c>
      <c r="B50" s="1" t="s">
        <v>465</v>
      </c>
      <c r="C50" s="1" t="s">
        <v>465</v>
      </c>
      <c r="D50" s="1"/>
      <c r="E50" s="38" t="s">
        <v>41</v>
      </c>
      <c r="F50" s="38">
        <v>90</v>
      </c>
      <c r="G50" s="38" t="s">
        <v>402</v>
      </c>
      <c r="H50" s="38">
        <v>90</v>
      </c>
      <c r="I50" s="38">
        <v>1010</v>
      </c>
      <c r="J50" s="11">
        <f t="shared" si="38"/>
        <v>1010</v>
      </c>
      <c r="K50" s="5">
        <f t="shared" si="36"/>
        <v>12469.135802469136</v>
      </c>
      <c r="L50" s="39">
        <v>1</v>
      </c>
      <c r="M50" s="37">
        <f t="shared" si="39"/>
        <v>1</v>
      </c>
      <c r="N50" s="38"/>
      <c r="O50" s="46"/>
      <c r="P50" s="42">
        <f t="shared" si="40"/>
        <v>1010</v>
      </c>
      <c r="Q50" s="38"/>
      <c r="R50" s="38"/>
      <c r="S50" s="38"/>
      <c r="T50" s="38"/>
      <c r="U50" s="37">
        <f t="shared" si="33"/>
        <v>1</v>
      </c>
      <c r="V50" s="38" t="s">
        <v>483</v>
      </c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43"/>
      <c r="AH50" s="44"/>
      <c r="AI50" s="45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</row>
    <row r="51" spans="1:86">
      <c r="A51" s="33">
        <v>45797</v>
      </c>
      <c r="B51" s="1" t="s">
        <v>465</v>
      </c>
      <c r="C51" s="1" t="s">
        <v>465</v>
      </c>
      <c r="D51" s="1"/>
      <c r="E51" s="38" t="s">
        <v>41</v>
      </c>
      <c r="F51" s="38">
        <v>90</v>
      </c>
      <c r="G51" s="38" t="s">
        <v>402</v>
      </c>
      <c r="H51" s="38">
        <v>90</v>
      </c>
      <c r="I51" s="38">
        <v>1082</v>
      </c>
      <c r="J51" s="11">
        <f t="shared" si="38"/>
        <v>1082</v>
      </c>
      <c r="K51" s="5">
        <f t="shared" si="36"/>
        <v>13358.024691358025</v>
      </c>
      <c r="L51" s="39">
        <v>1</v>
      </c>
      <c r="M51" s="37">
        <f t="shared" si="39"/>
        <v>1</v>
      </c>
      <c r="N51" s="38"/>
      <c r="O51" s="46"/>
      <c r="P51" s="42">
        <f t="shared" si="40"/>
        <v>1082</v>
      </c>
      <c r="Q51" s="38"/>
      <c r="R51" s="38"/>
      <c r="S51" s="38"/>
      <c r="T51" s="38"/>
      <c r="U51" s="37">
        <f t="shared" si="33"/>
        <v>1</v>
      </c>
      <c r="V51" s="38" t="s">
        <v>483</v>
      </c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43"/>
      <c r="AH51" s="44"/>
      <c r="AI51" s="45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</row>
    <row r="52" spans="1:86">
      <c r="A52" s="33">
        <v>45797</v>
      </c>
      <c r="B52" s="1" t="s">
        <v>481</v>
      </c>
      <c r="C52" s="1" t="s">
        <v>481</v>
      </c>
      <c r="D52" s="1"/>
      <c r="E52" s="38" t="s">
        <v>41</v>
      </c>
      <c r="F52" s="38">
        <v>90</v>
      </c>
      <c r="G52" s="38" t="s">
        <v>402</v>
      </c>
      <c r="H52" s="38">
        <v>75</v>
      </c>
      <c r="I52" s="38">
        <v>888</v>
      </c>
      <c r="J52" s="11">
        <f t="shared" si="38"/>
        <v>888</v>
      </c>
      <c r="K52" s="5">
        <f t="shared" si="36"/>
        <v>13155.555555555555</v>
      </c>
      <c r="L52" s="39">
        <v>1</v>
      </c>
      <c r="M52" s="37">
        <f t="shared" si="39"/>
        <v>1</v>
      </c>
      <c r="N52" s="38"/>
      <c r="O52" s="46"/>
      <c r="P52" s="42">
        <f t="shared" si="40"/>
        <v>888</v>
      </c>
      <c r="Q52" s="38"/>
      <c r="R52" s="38"/>
      <c r="S52" s="38"/>
      <c r="T52" s="38"/>
      <c r="U52" s="37">
        <f t="shared" si="33"/>
        <v>1</v>
      </c>
      <c r="V52" s="38" t="s">
        <v>483</v>
      </c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43"/>
      <c r="AH52" s="44"/>
      <c r="AI52" s="45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</row>
    <row r="53" spans="1:86">
      <c r="A53" s="33">
        <v>45797</v>
      </c>
      <c r="B53" s="1" t="s">
        <v>481</v>
      </c>
      <c r="C53" s="1" t="s">
        <v>481</v>
      </c>
      <c r="D53" s="1"/>
      <c r="E53" s="38" t="s">
        <v>41</v>
      </c>
      <c r="F53" s="38">
        <v>90</v>
      </c>
      <c r="G53" s="38" t="s">
        <v>402</v>
      </c>
      <c r="H53" s="38">
        <v>75</v>
      </c>
      <c r="I53" s="38">
        <v>896</v>
      </c>
      <c r="J53" s="11">
        <f t="shared" si="38"/>
        <v>896</v>
      </c>
      <c r="K53" s="5">
        <f t="shared" si="36"/>
        <v>13274.074074074073</v>
      </c>
      <c r="L53" s="39">
        <v>1</v>
      </c>
      <c r="M53" s="37">
        <f t="shared" si="39"/>
        <v>1</v>
      </c>
      <c r="N53" s="38"/>
      <c r="O53" s="46"/>
      <c r="P53" s="42">
        <f t="shared" si="40"/>
        <v>896</v>
      </c>
      <c r="Q53" s="38"/>
      <c r="R53" s="38"/>
      <c r="S53" s="38"/>
      <c r="T53" s="38"/>
      <c r="U53" s="37">
        <f t="shared" ref="U53:U83" si="41">+L53-X53-Z53-AD53-AB53-AF53-AH53-AJ53-AL53-AO53-AQ53-AS53-AU53-AW53-AY53-BA53-BC53-BE53-BG53-BI53-BK53-BM53-BO53-BQ53-BS53-BU53-BW53-BY53-CA53-CC53-CE53-CG53</f>
        <v>1</v>
      </c>
      <c r="V53" s="38" t="s">
        <v>483</v>
      </c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43"/>
      <c r="AH53" s="44"/>
      <c r="AI53" s="45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</row>
    <row r="54" spans="1:86">
      <c r="A54" s="33">
        <v>45797</v>
      </c>
      <c r="B54" s="1" t="s">
        <v>481</v>
      </c>
      <c r="C54" s="1" t="s">
        <v>481</v>
      </c>
      <c r="D54" s="1"/>
      <c r="E54" s="38" t="s">
        <v>41</v>
      </c>
      <c r="F54" s="38">
        <v>90</v>
      </c>
      <c r="G54" s="38" t="s">
        <v>402</v>
      </c>
      <c r="H54" s="38">
        <v>75</v>
      </c>
      <c r="I54" s="38">
        <v>896</v>
      </c>
      <c r="J54" s="11">
        <f t="shared" si="38"/>
        <v>896</v>
      </c>
      <c r="K54" s="5">
        <f t="shared" si="36"/>
        <v>13274.074074074073</v>
      </c>
      <c r="L54" s="39">
        <v>1</v>
      </c>
      <c r="M54" s="37">
        <f t="shared" si="39"/>
        <v>1</v>
      </c>
      <c r="N54" s="38"/>
      <c r="O54" s="46"/>
      <c r="P54" s="42">
        <f t="shared" si="40"/>
        <v>896</v>
      </c>
      <c r="Q54" s="38"/>
      <c r="R54" s="38"/>
      <c r="S54" s="38"/>
      <c r="T54" s="38"/>
      <c r="U54" s="37">
        <f t="shared" si="41"/>
        <v>1</v>
      </c>
      <c r="V54" s="38" t="s">
        <v>483</v>
      </c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43"/>
      <c r="AH54" s="44"/>
      <c r="AI54" s="45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</row>
    <row r="55" spans="1:86">
      <c r="A55" s="33">
        <v>45797</v>
      </c>
      <c r="B55" s="1" t="s">
        <v>481</v>
      </c>
      <c r="C55" s="1" t="s">
        <v>481</v>
      </c>
      <c r="D55" s="1"/>
      <c r="E55" s="38" t="s">
        <v>41</v>
      </c>
      <c r="F55" s="38">
        <v>90</v>
      </c>
      <c r="G55" s="38" t="s">
        <v>402</v>
      </c>
      <c r="H55" s="38">
        <v>75</v>
      </c>
      <c r="I55" s="38">
        <v>894</v>
      </c>
      <c r="J55" s="11">
        <f t="shared" si="38"/>
        <v>894</v>
      </c>
      <c r="K55" s="5">
        <f t="shared" si="36"/>
        <v>13244.444444444443</v>
      </c>
      <c r="L55" s="39">
        <v>1</v>
      </c>
      <c r="M55" s="37">
        <f t="shared" si="39"/>
        <v>1</v>
      </c>
      <c r="N55" s="38"/>
      <c r="O55" s="46"/>
      <c r="P55" s="42">
        <f t="shared" si="40"/>
        <v>894</v>
      </c>
      <c r="Q55" s="38"/>
      <c r="R55" s="38"/>
      <c r="S55" s="38"/>
      <c r="T55" s="38"/>
      <c r="U55" s="37">
        <f t="shared" si="41"/>
        <v>1</v>
      </c>
      <c r="V55" s="38" t="s">
        <v>483</v>
      </c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43"/>
      <c r="AH55" s="44"/>
      <c r="AI55" s="45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</row>
    <row r="56" spans="1:86">
      <c r="A56" s="33">
        <v>45797</v>
      </c>
      <c r="B56" s="1" t="s">
        <v>481</v>
      </c>
      <c r="C56" s="1" t="s">
        <v>481</v>
      </c>
      <c r="D56" s="1"/>
      <c r="E56" s="38" t="s">
        <v>41</v>
      </c>
      <c r="F56" s="38">
        <v>90</v>
      </c>
      <c r="G56" s="38" t="s">
        <v>402</v>
      </c>
      <c r="H56" s="38">
        <v>75</v>
      </c>
      <c r="I56" s="38">
        <v>888</v>
      </c>
      <c r="J56" s="11">
        <f t="shared" si="38"/>
        <v>888</v>
      </c>
      <c r="K56" s="5">
        <f t="shared" si="36"/>
        <v>13155.555555555555</v>
      </c>
      <c r="L56" s="39">
        <v>1</v>
      </c>
      <c r="M56" s="37">
        <f t="shared" si="39"/>
        <v>1</v>
      </c>
      <c r="N56" s="38"/>
      <c r="O56" s="46"/>
      <c r="P56" s="42">
        <f t="shared" si="40"/>
        <v>888</v>
      </c>
      <c r="Q56" s="38"/>
      <c r="R56" s="38"/>
      <c r="S56" s="38"/>
      <c r="T56" s="38"/>
      <c r="U56" s="37">
        <f t="shared" si="41"/>
        <v>1</v>
      </c>
      <c r="V56" s="38" t="s">
        <v>483</v>
      </c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43"/>
      <c r="AH56" s="44"/>
      <c r="AI56" s="45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</row>
    <row r="57" spans="1:86">
      <c r="A57" s="33">
        <v>45797</v>
      </c>
      <c r="B57" s="1" t="s">
        <v>481</v>
      </c>
      <c r="C57" s="1" t="s">
        <v>481</v>
      </c>
      <c r="D57" s="1"/>
      <c r="E57" s="38" t="s">
        <v>41</v>
      </c>
      <c r="F57" s="38">
        <v>90</v>
      </c>
      <c r="G57" s="38" t="s">
        <v>402</v>
      </c>
      <c r="H57" s="38">
        <v>75</v>
      </c>
      <c r="I57" s="38">
        <v>894</v>
      </c>
      <c r="J57" s="11">
        <f t="shared" si="38"/>
        <v>894</v>
      </c>
      <c r="K57" s="5">
        <f t="shared" si="36"/>
        <v>13244.444444444443</v>
      </c>
      <c r="L57" s="39">
        <v>1</v>
      </c>
      <c r="M57" s="37">
        <f t="shared" si="39"/>
        <v>1</v>
      </c>
      <c r="N57" s="38"/>
      <c r="O57" s="46"/>
      <c r="P57" s="42">
        <f t="shared" si="40"/>
        <v>894</v>
      </c>
      <c r="Q57" s="38"/>
      <c r="R57" s="38"/>
      <c r="S57" s="38"/>
      <c r="T57" s="38"/>
      <c r="U57" s="37">
        <f t="shared" si="41"/>
        <v>1</v>
      </c>
      <c r="V57" s="38" t="s">
        <v>483</v>
      </c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43"/>
      <c r="AH57" s="44"/>
      <c r="AI57" s="45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</row>
    <row r="58" spans="1:86">
      <c r="A58" s="33">
        <v>45797</v>
      </c>
      <c r="B58" s="1" t="s">
        <v>481</v>
      </c>
      <c r="C58" s="1" t="s">
        <v>481</v>
      </c>
      <c r="D58" s="1"/>
      <c r="E58" s="38" t="s">
        <v>41</v>
      </c>
      <c r="F58" s="38">
        <v>90</v>
      </c>
      <c r="G58" s="38" t="s">
        <v>402</v>
      </c>
      <c r="H58" s="38">
        <v>75</v>
      </c>
      <c r="I58" s="38">
        <v>896</v>
      </c>
      <c r="J58" s="11">
        <f t="shared" si="38"/>
        <v>896</v>
      </c>
      <c r="K58" s="5">
        <f t="shared" si="36"/>
        <v>13274.074074074073</v>
      </c>
      <c r="L58" s="39">
        <v>1</v>
      </c>
      <c r="M58" s="37">
        <f t="shared" si="39"/>
        <v>1</v>
      </c>
      <c r="N58" s="38"/>
      <c r="O58" s="46"/>
      <c r="P58" s="42">
        <f t="shared" si="40"/>
        <v>896</v>
      </c>
      <c r="Q58" s="38"/>
      <c r="R58" s="38"/>
      <c r="S58" s="38"/>
      <c r="T58" s="38"/>
      <c r="U58" s="37">
        <f t="shared" si="41"/>
        <v>1</v>
      </c>
      <c r="V58" s="38" t="s">
        <v>483</v>
      </c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43"/>
      <c r="AH58" s="44"/>
      <c r="AI58" s="45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</row>
    <row r="59" spans="1:86">
      <c r="A59" s="33">
        <v>45797</v>
      </c>
      <c r="B59" s="1" t="s">
        <v>481</v>
      </c>
      <c r="C59" s="1" t="s">
        <v>481</v>
      </c>
      <c r="D59" s="1"/>
      <c r="E59" s="38" t="s">
        <v>41</v>
      </c>
      <c r="F59" s="38">
        <v>90</v>
      </c>
      <c r="G59" s="38" t="s">
        <v>402</v>
      </c>
      <c r="H59" s="38">
        <v>75</v>
      </c>
      <c r="I59" s="38">
        <v>896</v>
      </c>
      <c r="J59" s="11">
        <f t="shared" si="38"/>
        <v>896</v>
      </c>
      <c r="K59" s="5">
        <f t="shared" si="36"/>
        <v>13274.074074074073</v>
      </c>
      <c r="L59" s="39">
        <v>1</v>
      </c>
      <c r="M59" s="37">
        <f t="shared" si="39"/>
        <v>1</v>
      </c>
      <c r="N59" s="38"/>
      <c r="O59" s="46"/>
      <c r="P59" s="42">
        <f t="shared" si="40"/>
        <v>896</v>
      </c>
      <c r="Q59" s="38"/>
      <c r="R59" s="38"/>
      <c r="S59" s="38"/>
      <c r="T59" s="38"/>
      <c r="U59" s="37">
        <f t="shared" si="41"/>
        <v>1</v>
      </c>
      <c r="V59" s="38" t="s">
        <v>483</v>
      </c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43"/>
      <c r="AH59" s="44"/>
      <c r="AI59" s="45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</row>
    <row r="60" spans="1:86">
      <c r="A60" s="33">
        <v>45797</v>
      </c>
      <c r="B60" s="1" t="s">
        <v>481</v>
      </c>
      <c r="C60" s="1" t="s">
        <v>481</v>
      </c>
      <c r="D60" s="1"/>
      <c r="E60" s="38" t="s">
        <v>41</v>
      </c>
      <c r="F60" s="38">
        <v>90</v>
      </c>
      <c r="G60" s="38" t="s">
        <v>402</v>
      </c>
      <c r="H60" s="38">
        <v>75</v>
      </c>
      <c r="I60" s="38">
        <v>898</v>
      </c>
      <c r="J60" s="11">
        <f t="shared" si="38"/>
        <v>898</v>
      </c>
      <c r="K60" s="5">
        <f t="shared" si="36"/>
        <v>13303.703703703703</v>
      </c>
      <c r="L60" s="39">
        <v>1</v>
      </c>
      <c r="M60" s="37">
        <f t="shared" si="39"/>
        <v>1</v>
      </c>
      <c r="N60" s="38"/>
      <c r="O60" s="46"/>
      <c r="P60" s="42">
        <f t="shared" si="40"/>
        <v>898</v>
      </c>
      <c r="Q60" s="38"/>
      <c r="R60" s="38"/>
      <c r="S60" s="38"/>
      <c r="T60" s="38"/>
      <c r="U60" s="37">
        <f t="shared" si="41"/>
        <v>1</v>
      </c>
      <c r="V60" s="38" t="s">
        <v>483</v>
      </c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43"/>
      <c r="AH60" s="44"/>
      <c r="AI60" s="45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</row>
    <row r="61" spans="1:86">
      <c r="A61" s="33">
        <v>45797</v>
      </c>
      <c r="B61" s="1" t="s">
        <v>401</v>
      </c>
      <c r="C61" s="1" t="s">
        <v>401</v>
      </c>
      <c r="D61" s="1"/>
      <c r="E61" s="38" t="s">
        <v>50</v>
      </c>
      <c r="F61" s="38">
        <v>100</v>
      </c>
      <c r="G61" s="38" t="s">
        <v>402</v>
      </c>
      <c r="H61" s="38">
        <v>90</v>
      </c>
      <c r="I61" s="38">
        <v>994</v>
      </c>
      <c r="J61" s="11">
        <f t="shared" ref="J61:J66" si="42">IFERROR(IF(AND(V61=3,U61&gt;0),I61,I61*U61),"Verify")</f>
        <v>994</v>
      </c>
      <c r="K61" s="5">
        <f t="shared" si="36"/>
        <v>11044.444444444443</v>
      </c>
      <c r="L61" s="39">
        <v>1</v>
      </c>
      <c r="M61" s="37">
        <f t="shared" si="39"/>
        <v>1</v>
      </c>
      <c r="N61" s="38"/>
      <c r="O61" s="46"/>
      <c r="P61" s="42"/>
      <c r="Q61" s="38"/>
      <c r="R61" s="38"/>
      <c r="S61" s="38"/>
      <c r="T61" s="38"/>
      <c r="U61" s="37">
        <f t="shared" si="41"/>
        <v>1</v>
      </c>
      <c r="V61" s="38" t="s">
        <v>483</v>
      </c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43"/>
      <c r="AH61" s="44"/>
      <c r="AI61" s="45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</row>
    <row r="62" spans="1:86">
      <c r="A62" s="33">
        <v>45797</v>
      </c>
      <c r="B62" s="1" t="s">
        <v>401</v>
      </c>
      <c r="C62" s="1" t="s">
        <v>401</v>
      </c>
      <c r="D62" s="1"/>
      <c r="E62" s="38" t="s">
        <v>50</v>
      </c>
      <c r="F62" s="38">
        <v>100</v>
      </c>
      <c r="G62" s="38" t="s">
        <v>402</v>
      </c>
      <c r="H62" s="38">
        <v>90</v>
      </c>
      <c r="I62" s="38">
        <v>1007</v>
      </c>
      <c r="J62" s="11">
        <f t="shared" si="42"/>
        <v>1007</v>
      </c>
      <c r="K62" s="5">
        <f t="shared" si="36"/>
        <v>11188.888888888887</v>
      </c>
      <c r="L62" s="39">
        <v>1</v>
      </c>
      <c r="M62" s="37">
        <f t="shared" si="39"/>
        <v>1</v>
      </c>
      <c r="N62" s="38"/>
      <c r="O62" s="46"/>
      <c r="P62" s="42"/>
      <c r="Q62" s="38"/>
      <c r="R62" s="38"/>
      <c r="S62" s="38"/>
      <c r="T62" s="38"/>
      <c r="U62" s="37">
        <f t="shared" si="41"/>
        <v>1</v>
      </c>
      <c r="V62" s="38" t="s">
        <v>483</v>
      </c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43"/>
      <c r="AH62" s="44"/>
      <c r="AI62" s="45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</row>
    <row r="63" spans="1:86">
      <c r="A63" s="33">
        <v>45797</v>
      </c>
      <c r="B63" s="1" t="s">
        <v>401</v>
      </c>
      <c r="C63" s="1" t="s">
        <v>401</v>
      </c>
      <c r="D63" s="1"/>
      <c r="E63" s="38" t="s">
        <v>50</v>
      </c>
      <c r="F63" s="38">
        <v>100</v>
      </c>
      <c r="G63" s="38" t="s">
        <v>402</v>
      </c>
      <c r="H63" s="38">
        <v>90</v>
      </c>
      <c r="I63" s="38">
        <v>1050</v>
      </c>
      <c r="J63" s="11">
        <f t="shared" si="42"/>
        <v>1050</v>
      </c>
      <c r="K63" s="5">
        <f t="shared" si="36"/>
        <v>11666.666666666666</v>
      </c>
      <c r="L63" s="39">
        <v>1</v>
      </c>
      <c r="M63" s="37">
        <f t="shared" si="39"/>
        <v>1</v>
      </c>
      <c r="N63" s="38"/>
      <c r="O63" s="46"/>
      <c r="P63" s="42"/>
      <c r="Q63" s="38"/>
      <c r="R63" s="38"/>
      <c r="S63" s="38"/>
      <c r="T63" s="38"/>
      <c r="U63" s="37">
        <f t="shared" si="41"/>
        <v>1</v>
      </c>
      <c r="V63" s="38" t="s">
        <v>483</v>
      </c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43"/>
      <c r="AH63" s="44"/>
      <c r="AI63" s="45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</row>
    <row r="64" spans="1:86">
      <c r="A64" s="33">
        <v>45797</v>
      </c>
      <c r="B64" s="1" t="s">
        <v>401</v>
      </c>
      <c r="C64" s="1" t="s">
        <v>401</v>
      </c>
      <c r="D64" s="1"/>
      <c r="E64" s="38" t="s">
        <v>50</v>
      </c>
      <c r="F64" s="38">
        <v>100</v>
      </c>
      <c r="G64" s="38" t="s">
        <v>402</v>
      </c>
      <c r="H64" s="38">
        <v>90</v>
      </c>
      <c r="I64" s="38">
        <v>992</v>
      </c>
      <c r="J64" s="11">
        <f t="shared" si="42"/>
        <v>992</v>
      </c>
      <c r="K64" s="5">
        <f t="shared" si="36"/>
        <v>11022.222222222221</v>
      </c>
      <c r="L64" s="39">
        <v>1</v>
      </c>
      <c r="M64" s="37">
        <f t="shared" si="39"/>
        <v>1</v>
      </c>
      <c r="N64" s="38"/>
      <c r="O64" s="46"/>
      <c r="P64" s="42"/>
      <c r="Q64" s="38"/>
      <c r="R64" s="38"/>
      <c r="S64" s="38"/>
      <c r="T64" s="38"/>
      <c r="U64" s="37">
        <f t="shared" si="41"/>
        <v>1</v>
      </c>
      <c r="V64" s="38" t="s">
        <v>483</v>
      </c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43"/>
      <c r="AH64" s="44"/>
      <c r="AI64" s="45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</row>
    <row r="65" spans="1:86">
      <c r="A65" s="33">
        <v>45797</v>
      </c>
      <c r="B65" s="1" t="s">
        <v>401</v>
      </c>
      <c r="C65" s="1" t="s">
        <v>401</v>
      </c>
      <c r="D65" s="1"/>
      <c r="E65" s="38" t="s">
        <v>50</v>
      </c>
      <c r="F65" s="38">
        <v>100</v>
      </c>
      <c r="G65" s="38" t="s">
        <v>402</v>
      </c>
      <c r="H65" s="38">
        <v>90</v>
      </c>
      <c r="I65" s="38">
        <v>1035</v>
      </c>
      <c r="J65" s="11">
        <f t="shared" si="42"/>
        <v>1035</v>
      </c>
      <c r="K65" s="5">
        <f t="shared" ref="K65:K83" si="43">+J65/(F65*H65*10^-5)</f>
        <v>11499.999999999998</v>
      </c>
      <c r="L65" s="39">
        <v>1</v>
      </c>
      <c r="M65" s="37">
        <f t="shared" si="39"/>
        <v>1</v>
      </c>
      <c r="N65" s="38"/>
      <c r="O65" s="46"/>
      <c r="P65" s="42"/>
      <c r="Q65" s="38"/>
      <c r="R65" s="38"/>
      <c r="S65" s="38"/>
      <c r="T65" s="38"/>
      <c r="U65" s="37">
        <f t="shared" si="41"/>
        <v>1</v>
      </c>
      <c r="V65" s="38" t="s">
        <v>483</v>
      </c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43"/>
      <c r="AH65" s="44"/>
      <c r="AI65" s="45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</row>
    <row r="66" spans="1:86">
      <c r="A66" s="33">
        <v>45797</v>
      </c>
      <c r="B66" s="1" t="s">
        <v>401</v>
      </c>
      <c r="C66" s="1" t="s">
        <v>401</v>
      </c>
      <c r="D66" s="1"/>
      <c r="E66" s="38" t="s">
        <v>50</v>
      </c>
      <c r="F66" s="38">
        <v>100</v>
      </c>
      <c r="G66" s="38" t="s">
        <v>402</v>
      </c>
      <c r="H66" s="38">
        <v>90</v>
      </c>
      <c r="I66" s="38">
        <v>1033</v>
      </c>
      <c r="J66" s="11">
        <f t="shared" si="42"/>
        <v>1033</v>
      </c>
      <c r="K66" s="5">
        <f t="shared" si="43"/>
        <v>11477.777777777776</v>
      </c>
      <c r="L66" s="39">
        <v>1</v>
      </c>
      <c r="M66" s="37">
        <f t="shared" si="39"/>
        <v>1</v>
      </c>
      <c r="N66" s="38"/>
      <c r="O66" s="46"/>
      <c r="P66" s="42"/>
      <c r="Q66" s="38"/>
      <c r="R66" s="38"/>
      <c r="S66" s="38"/>
      <c r="T66" s="38"/>
      <c r="U66" s="37">
        <f t="shared" si="41"/>
        <v>1</v>
      </c>
      <c r="V66" s="38" t="s">
        <v>483</v>
      </c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43"/>
      <c r="AH66" s="44"/>
      <c r="AI66" s="45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</row>
    <row r="67" spans="1:86">
      <c r="A67" s="33">
        <v>45488</v>
      </c>
      <c r="B67" s="1" t="s">
        <v>487</v>
      </c>
      <c r="C67" s="1" t="s">
        <v>487</v>
      </c>
      <c r="D67" s="1" t="s">
        <v>484</v>
      </c>
      <c r="E67" s="38" t="s">
        <v>83</v>
      </c>
      <c r="F67" s="38">
        <v>56</v>
      </c>
      <c r="G67" s="38" t="s">
        <v>287</v>
      </c>
      <c r="H67" s="38">
        <v>60</v>
      </c>
      <c r="I67" s="38">
        <v>287</v>
      </c>
      <c r="J67" s="11">
        <f>IFERROR(IF(AND(V67=3,U67&gt;0),I67,I67*U67),"Verify")-120</f>
        <v>167</v>
      </c>
      <c r="K67" s="5">
        <f t="shared" si="43"/>
        <v>4970.2380952380945</v>
      </c>
      <c r="L67" s="39">
        <v>2</v>
      </c>
      <c r="M67" s="37">
        <f t="shared" si="39"/>
        <v>1</v>
      </c>
      <c r="N67" s="38"/>
      <c r="O67" s="46"/>
      <c r="P67" s="42">
        <f t="shared" ref="P67:P90" si="44">+J67-O67</f>
        <v>167</v>
      </c>
      <c r="Q67" s="38" t="s">
        <v>488</v>
      </c>
      <c r="R67" s="38" t="s">
        <v>486</v>
      </c>
      <c r="S67" s="38"/>
      <c r="T67" s="38"/>
      <c r="U67" s="37">
        <f t="shared" si="41"/>
        <v>1</v>
      </c>
      <c r="V67" s="38">
        <v>4</v>
      </c>
      <c r="W67" s="38" t="s">
        <v>489</v>
      </c>
      <c r="X67" s="38">
        <v>1</v>
      </c>
      <c r="Y67" s="38"/>
      <c r="Z67" s="38"/>
      <c r="AA67" s="38"/>
      <c r="AB67" s="38"/>
      <c r="AC67" s="38"/>
      <c r="AD67" s="38"/>
      <c r="AE67" s="38"/>
      <c r="AF67" s="38"/>
      <c r="AG67" s="43"/>
      <c r="AH67" s="44"/>
      <c r="AI67" s="45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</row>
    <row r="68" spans="1:86">
      <c r="A68" s="33">
        <v>45772</v>
      </c>
      <c r="B68" s="1" t="s">
        <v>490</v>
      </c>
      <c r="C68" s="1" t="s">
        <v>490</v>
      </c>
      <c r="D68" s="1"/>
      <c r="E68" s="38" t="s">
        <v>245</v>
      </c>
      <c r="F68" s="38">
        <v>70</v>
      </c>
      <c r="G68" s="38" t="s">
        <v>287</v>
      </c>
      <c r="H68" s="38">
        <v>98</v>
      </c>
      <c r="I68" s="38">
        <v>866</v>
      </c>
      <c r="J68" s="11">
        <f t="shared" ref="J68:J92" si="45">IFERROR(IF(AND(V68=3,U68&gt;0),I68,I68*U68),"Verify")</f>
        <v>866</v>
      </c>
      <c r="K68" s="5">
        <f t="shared" si="43"/>
        <v>12623.906705539357</v>
      </c>
      <c r="L68" s="39">
        <v>1</v>
      </c>
      <c r="M68" s="37">
        <f t="shared" si="39"/>
        <v>1</v>
      </c>
      <c r="N68" s="38" t="s">
        <v>248</v>
      </c>
      <c r="O68" s="46">
        <f>J68</f>
        <v>866</v>
      </c>
      <c r="P68" s="42">
        <f t="shared" si="44"/>
        <v>0</v>
      </c>
      <c r="Q68" s="38"/>
      <c r="R68" s="38"/>
      <c r="S68" s="38"/>
      <c r="T68" s="38" t="s">
        <v>491</v>
      </c>
      <c r="U68" s="37">
        <f t="shared" si="41"/>
        <v>1</v>
      </c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43"/>
      <c r="AH68" s="44"/>
      <c r="AI68" s="45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</row>
    <row r="69" spans="1:86">
      <c r="A69" s="33">
        <v>45772</v>
      </c>
      <c r="B69" s="1" t="s">
        <v>492</v>
      </c>
      <c r="C69" s="1" t="s">
        <v>492</v>
      </c>
      <c r="D69" s="1"/>
      <c r="E69" s="38" t="s">
        <v>245</v>
      </c>
      <c r="F69" s="38">
        <v>70</v>
      </c>
      <c r="G69" s="38" t="s">
        <v>287</v>
      </c>
      <c r="H69" s="38">
        <v>107.5</v>
      </c>
      <c r="I69" s="38">
        <v>828</v>
      </c>
      <c r="J69" s="11">
        <f t="shared" si="45"/>
        <v>828</v>
      </c>
      <c r="K69" s="5">
        <f t="shared" si="43"/>
        <v>11003.322259136212</v>
      </c>
      <c r="L69" s="39">
        <v>1</v>
      </c>
      <c r="M69" s="37">
        <f t="shared" si="39"/>
        <v>1</v>
      </c>
      <c r="N69" s="38"/>
      <c r="O69" s="46"/>
      <c r="P69" s="42">
        <f t="shared" si="44"/>
        <v>828</v>
      </c>
      <c r="Q69" s="38"/>
      <c r="R69" s="38"/>
      <c r="S69" s="38"/>
      <c r="T69" s="38" t="s">
        <v>493</v>
      </c>
      <c r="U69" s="37">
        <f t="shared" si="41"/>
        <v>1</v>
      </c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43"/>
      <c r="AH69" s="44"/>
      <c r="AI69" s="45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</row>
    <row r="70" spans="1:86">
      <c r="A70" s="33">
        <v>45772</v>
      </c>
      <c r="B70" s="1" t="s">
        <v>494</v>
      </c>
      <c r="C70" s="1" t="s">
        <v>494</v>
      </c>
      <c r="D70" s="1"/>
      <c r="E70" s="38" t="s">
        <v>245</v>
      </c>
      <c r="F70" s="38">
        <v>70</v>
      </c>
      <c r="G70" s="38" t="s">
        <v>287</v>
      </c>
      <c r="H70" s="38">
        <v>104.5</v>
      </c>
      <c r="I70" s="38">
        <v>1292</v>
      </c>
      <c r="J70" s="11">
        <f t="shared" si="45"/>
        <v>1292</v>
      </c>
      <c r="K70" s="5">
        <f t="shared" si="43"/>
        <v>17662.337662337661</v>
      </c>
      <c r="L70" s="39">
        <v>1</v>
      </c>
      <c r="M70" s="37">
        <f t="shared" si="39"/>
        <v>1</v>
      </c>
      <c r="N70" s="38"/>
      <c r="O70" s="46"/>
      <c r="P70" s="42">
        <f t="shared" si="44"/>
        <v>1292</v>
      </c>
      <c r="Q70" s="38"/>
      <c r="R70" s="38"/>
      <c r="S70" s="38"/>
      <c r="T70" s="38" t="s">
        <v>476</v>
      </c>
      <c r="U70" s="37">
        <f t="shared" si="41"/>
        <v>1</v>
      </c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43"/>
      <c r="AH70" s="44"/>
      <c r="AI70" s="45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</row>
    <row r="71" spans="1:86">
      <c r="A71" s="33">
        <v>45772</v>
      </c>
      <c r="B71" s="1" t="s">
        <v>495</v>
      </c>
      <c r="C71" s="1" t="s">
        <v>495</v>
      </c>
      <c r="D71" s="1"/>
      <c r="E71" s="38" t="s">
        <v>245</v>
      </c>
      <c r="F71" s="38">
        <v>67</v>
      </c>
      <c r="G71" s="38" t="s">
        <v>287</v>
      </c>
      <c r="H71" s="38">
        <v>96.5</v>
      </c>
      <c r="I71" s="38">
        <v>1070</v>
      </c>
      <c r="J71" s="11">
        <f t="shared" si="45"/>
        <v>1070</v>
      </c>
      <c r="K71" s="5">
        <f t="shared" si="43"/>
        <v>16549.377465006572</v>
      </c>
      <c r="L71" s="39">
        <v>1</v>
      </c>
      <c r="M71" s="37">
        <f t="shared" si="39"/>
        <v>1</v>
      </c>
      <c r="N71" s="38"/>
      <c r="O71" s="46"/>
      <c r="P71" s="42">
        <f t="shared" si="44"/>
        <v>1070</v>
      </c>
      <c r="Q71" s="38"/>
      <c r="R71" s="38"/>
      <c r="S71" s="38"/>
      <c r="T71" s="38" t="s">
        <v>496</v>
      </c>
      <c r="U71" s="37">
        <f t="shared" si="41"/>
        <v>1</v>
      </c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43"/>
      <c r="AH71" s="44"/>
      <c r="AI71" s="45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</row>
    <row r="72" spans="1:86">
      <c r="A72" s="33">
        <v>45772</v>
      </c>
      <c r="B72" s="1" t="s">
        <v>419</v>
      </c>
      <c r="C72" s="1" t="s">
        <v>419</v>
      </c>
      <c r="D72" s="1"/>
      <c r="E72" s="38" t="s">
        <v>245</v>
      </c>
      <c r="F72" s="38">
        <v>70</v>
      </c>
      <c r="G72" s="38" t="s">
        <v>287</v>
      </c>
      <c r="H72" s="38">
        <v>103</v>
      </c>
      <c r="I72" s="38">
        <v>1182</v>
      </c>
      <c r="J72" s="11">
        <f t="shared" si="45"/>
        <v>1182</v>
      </c>
      <c r="K72" s="5">
        <f t="shared" si="43"/>
        <v>16393.89736477115</v>
      </c>
      <c r="L72" s="39">
        <v>1</v>
      </c>
      <c r="M72" s="37">
        <f t="shared" si="39"/>
        <v>1</v>
      </c>
      <c r="N72" s="38" t="s">
        <v>248</v>
      </c>
      <c r="O72" s="46">
        <f>J72</f>
        <v>1182</v>
      </c>
      <c r="P72" s="42">
        <f t="shared" si="44"/>
        <v>0</v>
      </c>
      <c r="Q72" s="38"/>
      <c r="R72" s="38"/>
      <c r="S72" s="38"/>
      <c r="T72" s="38" t="s">
        <v>497</v>
      </c>
      <c r="U72" s="37">
        <f t="shared" si="41"/>
        <v>1</v>
      </c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43"/>
      <c r="AH72" s="44"/>
      <c r="AI72" s="45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</row>
    <row r="73" spans="1:86">
      <c r="A73" s="33">
        <v>45772</v>
      </c>
      <c r="B73" s="1" t="s">
        <v>498</v>
      </c>
      <c r="C73" s="1" t="s">
        <v>498</v>
      </c>
      <c r="D73" s="1"/>
      <c r="E73" s="38" t="s">
        <v>245</v>
      </c>
      <c r="F73" s="38">
        <v>68</v>
      </c>
      <c r="G73" s="38" t="s">
        <v>287</v>
      </c>
      <c r="H73" s="38">
        <v>202</v>
      </c>
      <c r="I73" s="38">
        <v>2174</v>
      </c>
      <c r="J73" s="11">
        <f t="shared" si="45"/>
        <v>2174</v>
      </c>
      <c r="K73" s="5">
        <f t="shared" si="43"/>
        <v>15827.023878858474</v>
      </c>
      <c r="L73" s="39">
        <v>1</v>
      </c>
      <c r="M73" s="37">
        <f t="shared" si="39"/>
        <v>1</v>
      </c>
      <c r="N73" s="38"/>
      <c r="O73" s="46"/>
      <c r="P73" s="42">
        <f t="shared" si="44"/>
        <v>2174</v>
      </c>
      <c r="Q73" s="38"/>
      <c r="R73" s="38"/>
      <c r="S73" s="38"/>
      <c r="T73" s="38" t="s">
        <v>499</v>
      </c>
      <c r="U73" s="37">
        <f t="shared" si="41"/>
        <v>1</v>
      </c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43"/>
      <c r="AH73" s="44"/>
      <c r="AI73" s="45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</row>
    <row r="74" spans="1:86">
      <c r="A74" s="33">
        <v>45772</v>
      </c>
      <c r="B74" s="1" t="s">
        <v>500</v>
      </c>
      <c r="C74" s="1" t="s">
        <v>500</v>
      </c>
      <c r="D74" s="1"/>
      <c r="E74" s="38" t="s">
        <v>245</v>
      </c>
      <c r="F74" s="38">
        <v>73</v>
      </c>
      <c r="G74" s="38" t="s">
        <v>287</v>
      </c>
      <c r="H74" s="38">
        <v>103</v>
      </c>
      <c r="I74" s="38">
        <v>604</v>
      </c>
      <c r="J74" s="11">
        <f t="shared" si="45"/>
        <v>604</v>
      </c>
      <c r="K74" s="5">
        <f t="shared" si="43"/>
        <v>8032.9831094560441</v>
      </c>
      <c r="L74" s="39">
        <v>1</v>
      </c>
      <c r="M74" s="37">
        <f t="shared" si="39"/>
        <v>1</v>
      </c>
      <c r="N74" s="38" t="s">
        <v>248</v>
      </c>
      <c r="O74" s="46">
        <f>J74</f>
        <v>604</v>
      </c>
      <c r="P74" s="42">
        <f t="shared" si="44"/>
        <v>0</v>
      </c>
      <c r="Q74" s="38"/>
      <c r="R74" s="38"/>
      <c r="S74" s="38"/>
      <c r="T74" s="38" t="s">
        <v>501</v>
      </c>
      <c r="U74" s="37">
        <f t="shared" si="41"/>
        <v>1</v>
      </c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43"/>
      <c r="AH74" s="44"/>
      <c r="AI74" s="45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</row>
    <row r="75" spans="1:86">
      <c r="A75" s="33">
        <v>45772</v>
      </c>
      <c r="B75" s="1" t="s">
        <v>502</v>
      </c>
      <c r="C75" s="1" t="s">
        <v>502</v>
      </c>
      <c r="D75" s="1"/>
      <c r="E75" s="38" t="s">
        <v>245</v>
      </c>
      <c r="F75" s="38">
        <v>68</v>
      </c>
      <c r="G75" s="38" t="s">
        <v>287</v>
      </c>
      <c r="H75" s="38">
        <v>102</v>
      </c>
      <c r="I75" s="38">
        <v>1188</v>
      </c>
      <c r="J75" s="11">
        <f t="shared" si="45"/>
        <v>1188</v>
      </c>
      <c r="K75" s="5">
        <f t="shared" si="43"/>
        <v>17128.027681660897</v>
      </c>
      <c r="L75" s="39">
        <v>1</v>
      </c>
      <c r="M75" s="37">
        <f t="shared" si="39"/>
        <v>1</v>
      </c>
      <c r="N75" s="38"/>
      <c r="O75" s="46"/>
      <c r="P75" s="42">
        <f t="shared" si="44"/>
        <v>1188</v>
      </c>
      <c r="Q75" s="38"/>
      <c r="R75" s="38"/>
      <c r="S75" s="38"/>
      <c r="T75" s="38" t="s">
        <v>503</v>
      </c>
      <c r="U75" s="37">
        <f t="shared" si="41"/>
        <v>1</v>
      </c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43"/>
      <c r="AH75" s="44"/>
      <c r="AI75" s="45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</row>
    <row r="76" spans="1:86">
      <c r="A76" s="33">
        <v>45772</v>
      </c>
      <c r="B76" s="1" t="s">
        <v>504</v>
      </c>
      <c r="C76" s="1" t="s">
        <v>504</v>
      </c>
      <c r="D76" s="1"/>
      <c r="E76" s="38" t="s">
        <v>245</v>
      </c>
      <c r="F76" s="38">
        <v>65</v>
      </c>
      <c r="G76" s="38" t="s">
        <v>287</v>
      </c>
      <c r="H76" s="38">
        <v>120.5</v>
      </c>
      <c r="I76" s="38">
        <v>1106</v>
      </c>
      <c r="J76" s="11">
        <f t="shared" si="45"/>
        <v>1106</v>
      </c>
      <c r="K76" s="5">
        <f t="shared" si="43"/>
        <v>14120.651133099265</v>
      </c>
      <c r="L76" s="39">
        <v>1</v>
      </c>
      <c r="M76" s="37">
        <f t="shared" si="39"/>
        <v>1</v>
      </c>
      <c r="N76" s="38"/>
      <c r="O76" s="46"/>
      <c r="P76" s="42">
        <f t="shared" si="44"/>
        <v>1106</v>
      </c>
      <c r="Q76" s="38"/>
      <c r="R76" s="38"/>
      <c r="S76" s="38"/>
      <c r="T76" s="38" t="s">
        <v>505</v>
      </c>
      <c r="U76" s="37">
        <f t="shared" si="41"/>
        <v>1</v>
      </c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43"/>
      <c r="AH76" s="44"/>
      <c r="AI76" s="45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</row>
    <row r="77" spans="1:86">
      <c r="A77" s="33">
        <v>45772</v>
      </c>
      <c r="B77" s="1" t="s">
        <v>506</v>
      </c>
      <c r="C77" s="1" t="s">
        <v>506</v>
      </c>
      <c r="D77" s="1">
        <f>119.5-43.5-43.5</f>
        <v>32.5</v>
      </c>
      <c r="E77" s="38" t="s">
        <v>245</v>
      </c>
      <c r="F77" s="38">
        <v>62</v>
      </c>
      <c r="G77" s="38" t="s">
        <v>287</v>
      </c>
      <c r="H77" s="38">
        <v>119.5</v>
      </c>
      <c r="I77" s="38">
        <v>954</v>
      </c>
      <c r="J77" s="11">
        <f t="shared" si="45"/>
        <v>954</v>
      </c>
      <c r="K77" s="5">
        <f t="shared" si="43"/>
        <v>12876.231610203806</v>
      </c>
      <c r="L77" s="39">
        <v>1</v>
      </c>
      <c r="M77" s="37">
        <f t="shared" si="39"/>
        <v>1</v>
      </c>
      <c r="N77" s="38"/>
      <c r="O77" s="46"/>
      <c r="P77" s="42">
        <f t="shared" si="44"/>
        <v>954</v>
      </c>
      <c r="Q77" s="38"/>
      <c r="R77" s="38"/>
      <c r="S77" s="38"/>
      <c r="T77" s="38" t="s">
        <v>475</v>
      </c>
      <c r="U77" s="37">
        <f t="shared" si="41"/>
        <v>1</v>
      </c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43"/>
      <c r="AH77" s="44"/>
      <c r="AI77" s="45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</row>
    <row r="78" spans="1:86">
      <c r="A78" s="33">
        <v>45772</v>
      </c>
      <c r="B78" s="1" t="s">
        <v>507</v>
      </c>
      <c r="C78" s="1" t="s">
        <v>507</v>
      </c>
      <c r="D78" s="1"/>
      <c r="E78" s="38" t="s">
        <v>245</v>
      </c>
      <c r="F78" s="38">
        <v>78</v>
      </c>
      <c r="G78" s="38" t="s">
        <v>287</v>
      </c>
      <c r="H78" s="38">
        <v>125.5</v>
      </c>
      <c r="I78" s="38">
        <v>1320</v>
      </c>
      <c r="J78" s="11">
        <f t="shared" si="45"/>
        <v>1320</v>
      </c>
      <c r="K78" s="5">
        <f t="shared" si="43"/>
        <v>13484.523444682807</v>
      </c>
      <c r="L78" s="39">
        <v>1</v>
      </c>
      <c r="M78" s="37">
        <f t="shared" si="39"/>
        <v>1</v>
      </c>
      <c r="N78" s="38"/>
      <c r="O78" s="46"/>
      <c r="P78" s="42">
        <f t="shared" si="44"/>
        <v>1320</v>
      </c>
      <c r="Q78" s="38"/>
      <c r="R78" s="38"/>
      <c r="S78" s="38"/>
      <c r="T78" s="38" t="s">
        <v>508</v>
      </c>
      <c r="U78" s="37">
        <f t="shared" si="41"/>
        <v>1</v>
      </c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43"/>
      <c r="AH78" s="44"/>
      <c r="AI78" s="45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</row>
    <row r="79" spans="1:86">
      <c r="A79" s="33">
        <v>45772</v>
      </c>
      <c r="B79" s="1" t="s">
        <v>509</v>
      </c>
      <c r="C79" s="1" t="s">
        <v>509</v>
      </c>
      <c r="D79" s="1"/>
      <c r="E79" s="38" t="s">
        <v>245</v>
      </c>
      <c r="F79" s="38">
        <v>76</v>
      </c>
      <c r="G79" s="38" t="s">
        <v>287</v>
      </c>
      <c r="H79" s="38">
        <v>127</v>
      </c>
      <c r="I79" s="38">
        <v>1528</v>
      </c>
      <c r="J79" s="11">
        <f t="shared" si="45"/>
        <v>1528</v>
      </c>
      <c r="K79" s="5">
        <f t="shared" si="43"/>
        <v>15830.915872358059</v>
      </c>
      <c r="L79" s="39">
        <v>1</v>
      </c>
      <c r="M79" s="37">
        <f t="shared" ref="M79:M105" si="46">+L79-X79-Z79-AD79-AB79-AF79-AH79-AJ79-AL79-AO79-AQ79-AS79-AU79-AW79-AY79-BA79-BC79-BE79-BG79-BI79-BK79-BM79-BO79-BQ79-BS79-BU79-BW79-BY79-CA79-CC79-CE79-CG79</f>
        <v>1</v>
      </c>
      <c r="N79" s="38"/>
      <c r="O79" s="46"/>
      <c r="P79" s="42">
        <f t="shared" si="44"/>
        <v>1528</v>
      </c>
      <c r="Q79" s="38"/>
      <c r="R79" s="38"/>
      <c r="S79" s="38"/>
      <c r="T79" s="38">
        <v>40</v>
      </c>
      <c r="U79" s="37">
        <f t="shared" si="41"/>
        <v>1</v>
      </c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43"/>
      <c r="AH79" s="44"/>
      <c r="AI79" s="45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</row>
    <row r="80" spans="1:86">
      <c r="A80" s="33">
        <v>45772</v>
      </c>
      <c r="B80" s="1" t="s">
        <v>510</v>
      </c>
      <c r="C80" s="1" t="s">
        <v>510</v>
      </c>
      <c r="D80" s="1"/>
      <c r="E80" s="38" t="s">
        <v>245</v>
      </c>
      <c r="F80" s="38">
        <v>70</v>
      </c>
      <c r="G80" s="38" t="s">
        <v>287</v>
      </c>
      <c r="H80" s="38">
        <v>115</v>
      </c>
      <c r="I80" s="38">
        <v>1342</v>
      </c>
      <c r="J80" s="11">
        <f t="shared" si="45"/>
        <v>1342</v>
      </c>
      <c r="K80" s="5">
        <f t="shared" si="43"/>
        <v>16670.80745341615</v>
      </c>
      <c r="L80" s="39">
        <v>1</v>
      </c>
      <c r="M80" s="37">
        <f t="shared" si="46"/>
        <v>1</v>
      </c>
      <c r="N80" s="38"/>
      <c r="O80" s="46"/>
      <c r="P80" s="42">
        <f t="shared" si="44"/>
        <v>1342</v>
      </c>
      <c r="Q80" s="38"/>
      <c r="R80" s="38"/>
      <c r="S80" s="38"/>
      <c r="T80" s="38">
        <v>84</v>
      </c>
      <c r="U80" s="37">
        <f t="shared" si="41"/>
        <v>1</v>
      </c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43"/>
      <c r="AH80" s="44"/>
      <c r="AI80" s="45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</row>
    <row r="81" spans="1:86">
      <c r="A81" s="33">
        <v>45772</v>
      </c>
      <c r="B81" s="1" t="s">
        <v>511</v>
      </c>
      <c r="C81" s="1" t="s">
        <v>511</v>
      </c>
      <c r="D81" s="1"/>
      <c r="E81" s="38" t="s">
        <v>245</v>
      </c>
      <c r="F81" s="38">
        <v>72</v>
      </c>
      <c r="G81" s="38" t="s">
        <v>287</v>
      </c>
      <c r="H81" s="38">
        <v>124</v>
      </c>
      <c r="I81" s="38">
        <v>1424</v>
      </c>
      <c r="J81" s="11">
        <f t="shared" si="45"/>
        <v>1424</v>
      </c>
      <c r="K81" s="5">
        <f t="shared" si="43"/>
        <v>15949.820788530464</v>
      </c>
      <c r="L81" s="39">
        <v>1</v>
      </c>
      <c r="M81" s="37">
        <f t="shared" si="46"/>
        <v>1</v>
      </c>
      <c r="N81" s="38"/>
      <c r="O81" s="46"/>
      <c r="P81" s="42">
        <f t="shared" si="44"/>
        <v>1424</v>
      </c>
      <c r="Q81" s="38"/>
      <c r="R81" s="38"/>
      <c r="S81" s="38"/>
      <c r="T81" s="38">
        <v>65</v>
      </c>
      <c r="U81" s="37">
        <f t="shared" si="41"/>
        <v>1</v>
      </c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43"/>
      <c r="AH81" s="44"/>
      <c r="AI81" s="45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</row>
    <row r="82" spans="1:86">
      <c r="A82" s="33">
        <v>45772</v>
      </c>
      <c r="B82" s="1" t="s">
        <v>512</v>
      </c>
      <c r="C82" s="1" t="s">
        <v>512</v>
      </c>
      <c r="D82" s="1"/>
      <c r="E82" s="38" t="s">
        <v>245</v>
      </c>
      <c r="F82" s="38">
        <v>69</v>
      </c>
      <c r="G82" s="38" t="s">
        <v>287</v>
      </c>
      <c r="H82" s="38">
        <v>122</v>
      </c>
      <c r="I82" s="38">
        <v>522</v>
      </c>
      <c r="J82" s="11">
        <f t="shared" si="45"/>
        <v>522</v>
      </c>
      <c r="K82" s="5">
        <f t="shared" si="43"/>
        <v>6200.9978617248753</v>
      </c>
      <c r="L82" s="39">
        <v>1</v>
      </c>
      <c r="M82" s="37">
        <f t="shared" si="46"/>
        <v>1</v>
      </c>
      <c r="N82" s="38"/>
      <c r="O82" s="46"/>
      <c r="P82" s="42">
        <f t="shared" si="44"/>
        <v>522</v>
      </c>
      <c r="Q82" s="38"/>
      <c r="R82" s="38"/>
      <c r="S82" s="38"/>
      <c r="T82" s="38">
        <v>54</v>
      </c>
      <c r="U82" s="37">
        <f t="shared" si="41"/>
        <v>1</v>
      </c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43"/>
      <c r="AH82" s="44"/>
      <c r="AI82" s="45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</row>
    <row r="83" spans="1:86">
      <c r="A83" s="33">
        <v>45772</v>
      </c>
      <c r="B83" s="1" t="s">
        <v>513</v>
      </c>
      <c r="C83" s="1" t="s">
        <v>513</v>
      </c>
      <c r="D83" s="1"/>
      <c r="E83" s="38" t="s">
        <v>245</v>
      </c>
      <c r="F83" s="38">
        <v>71</v>
      </c>
      <c r="G83" s="38" t="s">
        <v>287</v>
      </c>
      <c r="H83" s="38">
        <v>124</v>
      </c>
      <c r="I83" s="38">
        <v>522</v>
      </c>
      <c r="J83" s="11">
        <f t="shared" si="45"/>
        <v>522</v>
      </c>
      <c r="K83" s="5">
        <f t="shared" si="43"/>
        <v>5929.1231258518847</v>
      </c>
      <c r="L83" s="39">
        <v>1</v>
      </c>
      <c r="M83" s="37">
        <f t="shared" si="46"/>
        <v>1</v>
      </c>
      <c r="N83" s="38"/>
      <c r="O83" s="46"/>
      <c r="P83" s="42">
        <f t="shared" si="44"/>
        <v>522</v>
      </c>
      <c r="Q83" s="38"/>
      <c r="R83" s="38"/>
      <c r="S83" s="38"/>
      <c r="T83" s="38">
        <v>63</v>
      </c>
      <c r="U83" s="37">
        <f t="shared" si="41"/>
        <v>1</v>
      </c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43"/>
      <c r="AH83" s="44"/>
      <c r="AI83" s="45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</row>
    <row r="84" spans="1:86">
      <c r="A84" s="33">
        <v>45772</v>
      </c>
      <c r="B84" s="1" t="s">
        <v>514</v>
      </c>
      <c r="C84" s="1" t="s">
        <v>514</v>
      </c>
      <c r="D84" s="1"/>
      <c r="E84" s="38" t="s">
        <v>245</v>
      </c>
      <c r="F84" s="38">
        <v>78</v>
      </c>
      <c r="G84" s="38" t="s">
        <v>287</v>
      </c>
      <c r="H84" s="38">
        <v>122</v>
      </c>
      <c r="I84" s="38">
        <v>910</v>
      </c>
      <c r="J84" s="11">
        <f t="shared" si="45"/>
        <v>910</v>
      </c>
      <c r="K84" s="5">
        <f t="shared" ref="K84:K101" si="47">+J84/(F84*H84*10^-5)</f>
        <v>9562.841530054644</v>
      </c>
      <c r="L84" s="39">
        <v>1</v>
      </c>
      <c r="M84" s="37">
        <f t="shared" si="46"/>
        <v>1</v>
      </c>
      <c r="N84" s="38"/>
      <c r="O84" s="46"/>
      <c r="P84" s="42">
        <f t="shared" si="44"/>
        <v>910</v>
      </c>
      <c r="Q84" s="38"/>
      <c r="R84" s="38"/>
      <c r="S84" s="38"/>
      <c r="T84" s="38">
        <v>110</v>
      </c>
      <c r="U84" s="37">
        <f t="shared" ref="U84:U111" si="48">+L84-X84-Z84-AD84-AB84-AF84-AH84-AJ84-AL84-AO84-AQ84-AS84-AU84-AW84-AY84-BA84-BC84-BE84-BG84-BI84-BK84-BM84-BO84-BQ84-BS84-BU84-BW84-BY84-CA84-CC84-CE84-CG84</f>
        <v>1</v>
      </c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43"/>
      <c r="AH84" s="44"/>
      <c r="AI84" s="45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</row>
    <row r="85" spans="1:86">
      <c r="A85" s="33">
        <v>45772</v>
      </c>
      <c r="B85" s="1" t="s">
        <v>515</v>
      </c>
      <c r="C85" s="1" t="s">
        <v>515</v>
      </c>
      <c r="D85" s="1"/>
      <c r="E85" s="38" t="s">
        <v>245</v>
      </c>
      <c r="F85" s="38">
        <v>77</v>
      </c>
      <c r="G85" s="38" t="s">
        <v>287</v>
      </c>
      <c r="H85" s="38">
        <v>100</v>
      </c>
      <c r="I85" s="38">
        <v>862</v>
      </c>
      <c r="J85" s="11">
        <f t="shared" si="45"/>
        <v>862</v>
      </c>
      <c r="K85" s="5">
        <f t="shared" si="47"/>
        <v>11194.805194805193</v>
      </c>
      <c r="L85" s="39">
        <v>1</v>
      </c>
      <c r="M85" s="37">
        <f t="shared" si="46"/>
        <v>1</v>
      </c>
      <c r="N85" s="38" t="s">
        <v>248</v>
      </c>
      <c r="O85" s="46">
        <f>J85</f>
        <v>862</v>
      </c>
      <c r="P85" s="42">
        <f t="shared" si="44"/>
        <v>0</v>
      </c>
      <c r="Q85" s="38"/>
      <c r="R85" s="38"/>
      <c r="S85" s="38"/>
      <c r="T85" s="38">
        <v>111</v>
      </c>
      <c r="U85" s="37">
        <f t="shared" si="48"/>
        <v>1</v>
      </c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43"/>
      <c r="AH85" s="44"/>
      <c r="AI85" s="45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</row>
    <row r="86" spans="1:86">
      <c r="A86" s="33">
        <v>45772</v>
      </c>
      <c r="B86" s="1" t="s">
        <v>516</v>
      </c>
      <c r="C86" s="1" t="s">
        <v>516</v>
      </c>
      <c r="D86" s="1"/>
      <c r="E86" s="38" t="s">
        <v>245</v>
      </c>
      <c r="F86" s="38">
        <v>80</v>
      </c>
      <c r="G86" s="38" t="s">
        <v>287</v>
      </c>
      <c r="H86" s="38">
        <v>117</v>
      </c>
      <c r="I86" s="38">
        <v>1486</v>
      </c>
      <c r="J86" s="11">
        <f t="shared" si="45"/>
        <v>1486</v>
      </c>
      <c r="K86" s="5">
        <f t="shared" si="47"/>
        <v>15876.068376068375</v>
      </c>
      <c r="L86" s="39">
        <v>1</v>
      </c>
      <c r="M86" s="37">
        <f t="shared" si="46"/>
        <v>1</v>
      </c>
      <c r="N86" s="38"/>
      <c r="O86" s="46"/>
      <c r="P86" s="42">
        <f t="shared" si="44"/>
        <v>1486</v>
      </c>
      <c r="Q86" s="38"/>
      <c r="R86" s="38"/>
      <c r="S86" s="38"/>
      <c r="T86" s="38">
        <v>87</v>
      </c>
      <c r="U86" s="37">
        <f t="shared" si="48"/>
        <v>1</v>
      </c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43"/>
      <c r="AH86" s="44"/>
      <c r="AI86" s="45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</row>
    <row r="87" spans="1:86">
      <c r="A87" s="33">
        <v>45772</v>
      </c>
      <c r="B87" s="1" t="s">
        <v>517</v>
      </c>
      <c r="C87" s="1" t="s">
        <v>517</v>
      </c>
      <c r="D87" s="1"/>
      <c r="E87" s="38" t="s">
        <v>245</v>
      </c>
      <c r="F87" s="38">
        <v>80</v>
      </c>
      <c r="G87" s="38" t="s">
        <v>287</v>
      </c>
      <c r="H87" s="38">
        <v>203</v>
      </c>
      <c r="I87" s="38">
        <v>1338</v>
      </c>
      <c r="J87" s="11">
        <f t="shared" si="45"/>
        <v>1338</v>
      </c>
      <c r="K87" s="5">
        <f t="shared" si="47"/>
        <v>8238.9162561576341</v>
      </c>
      <c r="L87" s="39">
        <v>1</v>
      </c>
      <c r="M87" s="37">
        <f t="shared" si="46"/>
        <v>1</v>
      </c>
      <c r="N87" s="38"/>
      <c r="O87" s="46"/>
      <c r="P87" s="42">
        <f t="shared" si="44"/>
        <v>1338</v>
      </c>
      <c r="Q87" s="38"/>
      <c r="R87" s="38"/>
      <c r="S87" s="38"/>
      <c r="T87" s="38">
        <v>3</v>
      </c>
      <c r="U87" s="37">
        <f t="shared" si="48"/>
        <v>1</v>
      </c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43"/>
      <c r="AH87" s="44"/>
      <c r="AI87" s="45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</row>
    <row r="88" spans="1:86">
      <c r="A88" s="33">
        <v>45772</v>
      </c>
      <c r="B88" s="1" t="s">
        <v>518</v>
      </c>
      <c r="C88" s="1" t="s">
        <v>518</v>
      </c>
      <c r="D88" s="1"/>
      <c r="E88" s="38" t="s">
        <v>245</v>
      </c>
      <c r="F88" s="38">
        <v>81</v>
      </c>
      <c r="G88" s="38" t="s">
        <v>287</v>
      </c>
      <c r="H88" s="38">
        <v>132.5</v>
      </c>
      <c r="I88" s="38">
        <v>1214</v>
      </c>
      <c r="J88" s="11">
        <f t="shared" si="45"/>
        <v>1214</v>
      </c>
      <c r="K88" s="5">
        <f t="shared" si="47"/>
        <v>11311.437223386909</v>
      </c>
      <c r="L88" s="39">
        <v>1</v>
      </c>
      <c r="M88" s="37">
        <f t="shared" si="46"/>
        <v>1</v>
      </c>
      <c r="N88" s="38"/>
      <c r="O88" s="46"/>
      <c r="P88" s="42">
        <f t="shared" si="44"/>
        <v>1214</v>
      </c>
      <c r="Q88" s="38"/>
      <c r="R88" s="38"/>
      <c r="S88" s="38"/>
      <c r="T88" s="38">
        <v>53</v>
      </c>
      <c r="U88" s="37">
        <f t="shared" si="48"/>
        <v>1</v>
      </c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43"/>
      <c r="AH88" s="44"/>
      <c r="AI88" s="45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</row>
    <row r="89" spans="1:86">
      <c r="A89" s="33">
        <v>45772</v>
      </c>
      <c r="B89" s="1" t="s">
        <v>519</v>
      </c>
      <c r="C89" s="1" t="s">
        <v>519</v>
      </c>
      <c r="D89" s="1"/>
      <c r="E89" s="38" t="s">
        <v>245</v>
      </c>
      <c r="F89" s="38">
        <v>79</v>
      </c>
      <c r="G89" s="38" t="s">
        <v>287</v>
      </c>
      <c r="H89" s="38">
        <v>111</v>
      </c>
      <c r="I89" s="38">
        <v>1026</v>
      </c>
      <c r="J89" s="11">
        <f t="shared" si="45"/>
        <v>1026</v>
      </c>
      <c r="K89" s="5">
        <f t="shared" si="47"/>
        <v>11700.307902839548</v>
      </c>
      <c r="L89" s="39">
        <v>1</v>
      </c>
      <c r="M89" s="37">
        <f t="shared" si="46"/>
        <v>1</v>
      </c>
      <c r="N89" s="38"/>
      <c r="O89" s="46"/>
      <c r="P89" s="42">
        <f t="shared" si="44"/>
        <v>1026</v>
      </c>
      <c r="Q89" s="38"/>
      <c r="R89" s="38"/>
      <c r="S89" s="38"/>
      <c r="T89" s="38">
        <v>64</v>
      </c>
      <c r="U89" s="37">
        <f t="shared" si="48"/>
        <v>1</v>
      </c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43"/>
      <c r="AH89" s="44"/>
      <c r="AI89" s="45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</row>
    <row r="90" spans="1:86">
      <c r="A90" s="33">
        <v>45772</v>
      </c>
      <c r="B90" s="1" t="s">
        <v>520</v>
      </c>
      <c r="C90" s="1" t="s">
        <v>520</v>
      </c>
      <c r="D90" s="1"/>
      <c r="E90" s="38" t="s">
        <v>245</v>
      </c>
      <c r="F90" s="38">
        <v>68</v>
      </c>
      <c r="G90" s="38" t="s">
        <v>287</v>
      </c>
      <c r="H90" s="38">
        <v>119</v>
      </c>
      <c r="I90" s="38">
        <v>1190</v>
      </c>
      <c r="J90" s="11">
        <f t="shared" si="45"/>
        <v>1190</v>
      </c>
      <c r="K90" s="5">
        <f t="shared" si="47"/>
        <v>14705.882352941175</v>
      </c>
      <c r="L90" s="39">
        <v>1</v>
      </c>
      <c r="M90" s="37">
        <f t="shared" si="46"/>
        <v>1</v>
      </c>
      <c r="N90" s="38"/>
      <c r="O90" s="46"/>
      <c r="P90" s="42">
        <f t="shared" si="44"/>
        <v>1190</v>
      </c>
      <c r="Q90" s="38"/>
      <c r="R90" s="38"/>
      <c r="S90" s="38"/>
      <c r="T90" s="38">
        <v>13</v>
      </c>
      <c r="U90" s="37">
        <f t="shared" si="48"/>
        <v>1</v>
      </c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43"/>
      <c r="AH90" s="44"/>
      <c r="AI90" s="45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</row>
    <row r="91" spans="1:86">
      <c r="A91" s="33">
        <v>45772</v>
      </c>
      <c r="B91" s="1" t="s">
        <v>521</v>
      </c>
      <c r="C91" s="1" t="s">
        <v>521</v>
      </c>
      <c r="D91" s="1"/>
      <c r="E91" s="38" t="s">
        <v>245</v>
      </c>
      <c r="F91" s="38">
        <v>76</v>
      </c>
      <c r="G91" s="38" t="s">
        <v>287</v>
      </c>
      <c r="H91" s="38">
        <v>117</v>
      </c>
      <c r="I91" s="38">
        <v>1130</v>
      </c>
      <c r="J91" s="11">
        <f t="shared" si="45"/>
        <v>1130</v>
      </c>
      <c r="K91" s="5">
        <f t="shared" si="47"/>
        <v>12708.05218173639</v>
      </c>
      <c r="L91" s="39">
        <v>1</v>
      </c>
      <c r="M91" s="37">
        <f t="shared" si="46"/>
        <v>1</v>
      </c>
      <c r="N91" s="38"/>
      <c r="O91" s="46"/>
      <c r="P91" s="42">
        <f t="shared" ref="P91:P122" si="49">+J91-O91</f>
        <v>1130</v>
      </c>
      <c r="Q91" s="38"/>
      <c r="R91" s="38"/>
      <c r="S91" s="38"/>
      <c r="T91" s="38">
        <v>16</v>
      </c>
      <c r="U91" s="37">
        <f t="shared" si="48"/>
        <v>1</v>
      </c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43"/>
      <c r="AH91" s="44"/>
      <c r="AI91" s="45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</row>
    <row r="92" spans="1:86">
      <c r="A92" s="33">
        <v>45772</v>
      </c>
      <c r="B92" s="1" t="s">
        <v>522</v>
      </c>
      <c r="C92" s="1" t="s">
        <v>522</v>
      </c>
      <c r="D92" s="1"/>
      <c r="E92" s="38" t="s">
        <v>245</v>
      </c>
      <c r="F92" s="38">
        <v>75</v>
      </c>
      <c r="G92" s="38" t="s">
        <v>287</v>
      </c>
      <c r="H92" s="38">
        <v>121</v>
      </c>
      <c r="I92" s="38">
        <v>1170</v>
      </c>
      <c r="J92" s="11">
        <f t="shared" si="45"/>
        <v>1170</v>
      </c>
      <c r="K92" s="5">
        <f t="shared" si="47"/>
        <v>12892.561983471072</v>
      </c>
      <c r="L92" s="39">
        <v>1</v>
      </c>
      <c r="M92" s="37">
        <f t="shared" si="46"/>
        <v>1</v>
      </c>
      <c r="N92" s="38"/>
      <c r="O92" s="46"/>
      <c r="P92" s="42">
        <f t="shared" si="49"/>
        <v>1170</v>
      </c>
      <c r="Q92" s="38"/>
      <c r="R92" s="38"/>
      <c r="S92" s="38"/>
      <c r="T92" s="38">
        <v>31</v>
      </c>
      <c r="U92" s="37">
        <f t="shared" si="48"/>
        <v>1</v>
      </c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43"/>
      <c r="AH92" s="44"/>
      <c r="AI92" s="45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</row>
    <row r="93" spans="1:86">
      <c r="A93" s="33">
        <v>45772</v>
      </c>
      <c r="B93" s="1" t="s">
        <v>523</v>
      </c>
      <c r="C93" s="1" t="s">
        <v>523</v>
      </c>
      <c r="D93" s="1"/>
      <c r="E93" s="38" t="s">
        <v>245</v>
      </c>
      <c r="F93" s="38">
        <v>78</v>
      </c>
      <c r="G93" s="38" t="s">
        <v>287</v>
      </c>
      <c r="H93" s="38">
        <v>124</v>
      </c>
      <c r="I93" s="38">
        <v>1192</v>
      </c>
      <c r="J93" s="11">
        <f t="shared" ref="J93:J123" si="50">IFERROR(IF(AND(V93=3,U93&gt;0),I93,I93*U93),"Verify")</f>
        <v>1192</v>
      </c>
      <c r="K93" s="5">
        <f t="shared" si="47"/>
        <v>12324.234904880064</v>
      </c>
      <c r="L93" s="39">
        <v>1</v>
      </c>
      <c r="M93" s="37">
        <f t="shared" si="46"/>
        <v>1</v>
      </c>
      <c r="N93" s="38"/>
      <c r="O93" s="46"/>
      <c r="P93" s="42">
        <f t="shared" si="49"/>
        <v>1192</v>
      </c>
      <c r="Q93" s="38"/>
      <c r="R93" s="38"/>
      <c r="S93" s="38"/>
      <c r="T93" s="38">
        <v>33</v>
      </c>
      <c r="U93" s="37">
        <f t="shared" si="48"/>
        <v>1</v>
      </c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43"/>
      <c r="AH93" s="44"/>
      <c r="AI93" s="45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</row>
    <row r="94" spans="1:86">
      <c r="A94" s="33">
        <v>45772</v>
      </c>
      <c r="B94" s="1" t="s">
        <v>524</v>
      </c>
      <c r="C94" s="1" t="s">
        <v>524</v>
      </c>
      <c r="D94" s="1"/>
      <c r="E94" s="38" t="s">
        <v>245</v>
      </c>
      <c r="F94" s="38">
        <v>80</v>
      </c>
      <c r="G94" s="38" t="s">
        <v>287</v>
      </c>
      <c r="H94" s="38">
        <v>111.1</v>
      </c>
      <c r="I94" s="38">
        <v>1120</v>
      </c>
      <c r="J94" s="11">
        <f t="shared" si="50"/>
        <v>1120</v>
      </c>
      <c r="K94" s="5">
        <f t="shared" si="47"/>
        <v>12601.260126012601</v>
      </c>
      <c r="L94" s="39">
        <v>1</v>
      </c>
      <c r="M94" s="37">
        <f t="shared" si="46"/>
        <v>1</v>
      </c>
      <c r="N94" s="38"/>
      <c r="O94" s="46"/>
      <c r="P94" s="42">
        <f t="shared" si="49"/>
        <v>1120</v>
      </c>
      <c r="Q94" s="38"/>
      <c r="R94" s="38"/>
      <c r="S94" s="38"/>
      <c r="T94" s="38">
        <v>10</v>
      </c>
      <c r="U94" s="37">
        <f t="shared" si="48"/>
        <v>1</v>
      </c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43"/>
      <c r="AH94" s="44"/>
      <c r="AI94" s="45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</row>
    <row r="95" spans="1:86">
      <c r="A95" s="33">
        <v>45772</v>
      </c>
      <c r="B95" s="1" t="s">
        <v>525</v>
      </c>
      <c r="C95" s="1" t="s">
        <v>525</v>
      </c>
      <c r="D95" s="1"/>
      <c r="E95" s="38" t="s">
        <v>245</v>
      </c>
      <c r="F95" s="38">
        <v>92</v>
      </c>
      <c r="G95" s="38" t="s">
        <v>287</v>
      </c>
      <c r="H95" s="38">
        <v>39</v>
      </c>
      <c r="I95" s="38">
        <v>390</v>
      </c>
      <c r="J95" s="11">
        <f t="shared" si="50"/>
        <v>390</v>
      </c>
      <c r="K95" s="5">
        <f t="shared" si="47"/>
        <v>10869.565217391304</v>
      </c>
      <c r="L95" s="39">
        <v>1</v>
      </c>
      <c r="M95" s="37">
        <f t="shared" si="46"/>
        <v>1</v>
      </c>
      <c r="N95" s="38"/>
      <c r="O95" s="46"/>
      <c r="P95" s="42">
        <f t="shared" si="49"/>
        <v>390</v>
      </c>
      <c r="Q95" s="38"/>
      <c r="R95" s="38"/>
      <c r="S95" s="38"/>
      <c r="T95" s="38">
        <v>25</v>
      </c>
      <c r="U95" s="37">
        <f t="shared" si="48"/>
        <v>1</v>
      </c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43"/>
      <c r="AH95" s="44"/>
      <c r="AI95" s="45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</row>
    <row r="96" spans="1:86">
      <c r="A96" s="33">
        <v>45772</v>
      </c>
      <c r="B96" s="1" t="s">
        <v>526</v>
      </c>
      <c r="C96" s="1" t="s">
        <v>526</v>
      </c>
      <c r="D96" s="1"/>
      <c r="E96" s="38" t="s">
        <v>245</v>
      </c>
      <c r="F96" s="38">
        <v>93</v>
      </c>
      <c r="G96" s="38" t="s">
        <v>287</v>
      </c>
      <c r="H96" s="38">
        <v>39</v>
      </c>
      <c r="I96" s="38">
        <v>390</v>
      </c>
      <c r="J96" s="11">
        <f t="shared" si="50"/>
        <v>390</v>
      </c>
      <c r="K96" s="5">
        <f t="shared" si="47"/>
        <v>10752.68817204301</v>
      </c>
      <c r="L96" s="39">
        <v>1</v>
      </c>
      <c r="M96" s="37">
        <f t="shared" si="46"/>
        <v>1</v>
      </c>
      <c r="N96" s="38"/>
      <c r="O96" s="46"/>
      <c r="P96" s="42">
        <f t="shared" si="49"/>
        <v>390</v>
      </c>
      <c r="Q96" s="38"/>
      <c r="R96" s="38"/>
      <c r="S96" s="38"/>
      <c r="T96" s="38">
        <v>22</v>
      </c>
      <c r="U96" s="37">
        <f t="shared" si="48"/>
        <v>1</v>
      </c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43"/>
      <c r="AH96" s="44"/>
      <c r="AI96" s="45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</row>
    <row r="97" spans="1:86">
      <c r="A97" s="33">
        <v>45772</v>
      </c>
      <c r="B97" s="1" t="s">
        <v>526</v>
      </c>
      <c r="C97" s="1" t="s">
        <v>526</v>
      </c>
      <c r="D97" s="1"/>
      <c r="E97" s="38" t="s">
        <v>245</v>
      </c>
      <c r="F97" s="38">
        <v>93</v>
      </c>
      <c r="G97" s="38" t="s">
        <v>287</v>
      </c>
      <c r="H97" s="38">
        <v>39</v>
      </c>
      <c r="I97" s="38">
        <v>390</v>
      </c>
      <c r="J97" s="11">
        <f t="shared" si="50"/>
        <v>390</v>
      </c>
      <c r="K97" s="5">
        <f t="shared" si="47"/>
        <v>10752.68817204301</v>
      </c>
      <c r="L97" s="39">
        <v>1</v>
      </c>
      <c r="M97" s="37">
        <f t="shared" si="46"/>
        <v>1</v>
      </c>
      <c r="N97" s="38"/>
      <c r="O97" s="46"/>
      <c r="P97" s="42">
        <f t="shared" si="49"/>
        <v>390</v>
      </c>
      <c r="Q97" s="38"/>
      <c r="R97" s="38"/>
      <c r="S97" s="38"/>
      <c r="T97" s="38">
        <v>21</v>
      </c>
      <c r="U97" s="37">
        <f t="shared" si="48"/>
        <v>1</v>
      </c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43"/>
      <c r="AH97" s="44"/>
      <c r="AI97" s="45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</row>
    <row r="98" spans="1:86">
      <c r="A98" s="33">
        <v>45772</v>
      </c>
      <c r="B98" s="1" t="s">
        <v>527</v>
      </c>
      <c r="C98" s="1" t="s">
        <v>527</v>
      </c>
      <c r="D98" s="1"/>
      <c r="E98" s="38" t="s">
        <v>245</v>
      </c>
      <c r="F98" s="38">
        <v>94</v>
      </c>
      <c r="G98" s="38" t="s">
        <v>287</v>
      </c>
      <c r="H98" s="38">
        <v>38.5</v>
      </c>
      <c r="I98" s="38">
        <v>400</v>
      </c>
      <c r="J98" s="11">
        <f t="shared" si="50"/>
        <v>400</v>
      </c>
      <c r="K98" s="5">
        <f t="shared" si="47"/>
        <v>11052.777010223819</v>
      </c>
      <c r="L98" s="39">
        <v>1</v>
      </c>
      <c r="M98" s="37">
        <f t="shared" si="46"/>
        <v>1</v>
      </c>
      <c r="N98" s="38"/>
      <c r="O98" s="46"/>
      <c r="P98" s="42">
        <f t="shared" si="49"/>
        <v>400</v>
      </c>
      <c r="Q98" s="38"/>
      <c r="R98" s="38"/>
      <c r="S98" s="38"/>
      <c r="T98" s="38">
        <v>24</v>
      </c>
      <c r="U98" s="37">
        <f t="shared" si="48"/>
        <v>1</v>
      </c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43"/>
      <c r="AH98" s="44"/>
      <c r="AI98" s="45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</row>
    <row r="99" spans="1:86">
      <c r="A99" s="33">
        <v>45772</v>
      </c>
      <c r="B99" s="1" t="s">
        <v>528</v>
      </c>
      <c r="C99" s="1" t="s">
        <v>528</v>
      </c>
      <c r="D99" s="1"/>
      <c r="E99" s="38" t="s">
        <v>245</v>
      </c>
      <c r="F99" s="38">
        <v>92</v>
      </c>
      <c r="G99" s="38" t="s">
        <v>287</v>
      </c>
      <c r="H99" s="38">
        <v>38.5</v>
      </c>
      <c r="I99" s="38">
        <v>400</v>
      </c>
      <c r="J99" s="11">
        <f t="shared" si="50"/>
        <v>400</v>
      </c>
      <c r="K99" s="5">
        <f t="shared" si="47"/>
        <v>11293.054771315641</v>
      </c>
      <c r="L99" s="39">
        <v>1</v>
      </c>
      <c r="M99" s="37">
        <f t="shared" si="46"/>
        <v>1</v>
      </c>
      <c r="N99" s="38"/>
      <c r="O99" s="46"/>
      <c r="P99" s="42">
        <f t="shared" si="49"/>
        <v>400</v>
      </c>
      <c r="Q99" s="38"/>
      <c r="R99" s="38"/>
      <c r="S99" s="38"/>
      <c r="T99" s="38">
        <v>18</v>
      </c>
      <c r="U99" s="37">
        <f t="shared" si="48"/>
        <v>1</v>
      </c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43"/>
      <c r="AH99" s="44"/>
      <c r="AI99" s="45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</row>
    <row r="100" spans="1:86">
      <c r="A100" s="33">
        <v>45772</v>
      </c>
      <c r="B100" s="1" t="s">
        <v>529</v>
      </c>
      <c r="C100" s="1" t="s">
        <v>529</v>
      </c>
      <c r="D100" s="1"/>
      <c r="E100" s="38" t="s">
        <v>245</v>
      </c>
      <c r="F100" s="38">
        <v>81</v>
      </c>
      <c r="G100" s="38" t="s">
        <v>287</v>
      </c>
      <c r="H100" s="38">
        <v>118</v>
      </c>
      <c r="I100" s="38">
        <v>1468</v>
      </c>
      <c r="J100" s="11">
        <f t="shared" si="50"/>
        <v>1468</v>
      </c>
      <c r="K100" s="5">
        <f t="shared" si="47"/>
        <v>15358.8616865453</v>
      </c>
      <c r="L100" s="39">
        <v>1</v>
      </c>
      <c r="M100" s="37">
        <f t="shared" si="46"/>
        <v>1</v>
      </c>
      <c r="N100" s="38"/>
      <c r="O100" s="46"/>
      <c r="P100" s="42">
        <f t="shared" si="49"/>
        <v>1468</v>
      </c>
      <c r="Q100" s="38"/>
      <c r="R100" s="38"/>
      <c r="S100" s="38"/>
      <c r="T100" s="38">
        <v>86</v>
      </c>
      <c r="U100" s="37">
        <f t="shared" si="48"/>
        <v>1</v>
      </c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43"/>
      <c r="AH100" s="44"/>
      <c r="AI100" s="45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</row>
    <row r="101" spans="1:86">
      <c r="A101" s="33">
        <v>45772</v>
      </c>
      <c r="B101" s="1" t="s">
        <v>530</v>
      </c>
      <c r="C101" s="1" t="s">
        <v>530</v>
      </c>
      <c r="D101" s="1"/>
      <c r="E101" s="38" t="s">
        <v>245</v>
      </c>
      <c r="F101" s="38">
        <v>84</v>
      </c>
      <c r="G101" s="38" t="s">
        <v>287</v>
      </c>
      <c r="H101" s="38">
        <v>124</v>
      </c>
      <c r="I101" s="38">
        <v>1146</v>
      </c>
      <c r="J101" s="11">
        <f t="shared" si="50"/>
        <v>1146</v>
      </c>
      <c r="K101" s="5">
        <f t="shared" si="47"/>
        <v>11002.304147465438</v>
      </c>
      <c r="L101" s="39">
        <v>1</v>
      </c>
      <c r="M101" s="37">
        <f t="shared" si="46"/>
        <v>1</v>
      </c>
      <c r="N101" s="38"/>
      <c r="O101" s="46"/>
      <c r="P101" s="42">
        <f t="shared" si="49"/>
        <v>1146</v>
      </c>
      <c r="Q101" s="38"/>
      <c r="R101" s="38"/>
      <c r="S101" s="38"/>
      <c r="T101" s="38">
        <v>42</v>
      </c>
      <c r="U101" s="37">
        <f t="shared" si="48"/>
        <v>1</v>
      </c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43"/>
      <c r="AH101" s="44"/>
      <c r="AI101" s="45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</row>
    <row r="102" spans="1:86">
      <c r="A102" s="33">
        <v>45772</v>
      </c>
      <c r="B102" s="1" t="s">
        <v>531</v>
      </c>
      <c r="C102" s="1" t="s">
        <v>531</v>
      </c>
      <c r="D102" s="1"/>
      <c r="E102" s="38" t="s">
        <v>245</v>
      </c>
      <c r="F102" s="38">
        <v>80</v>
      </c>
      <c r="G102" s="38" t="s">
        <v>287</v>
      </c>
      <c r="H102" s="38">
        <v>121</v>
      </c>
      <c r="I102" s="38">
        <v>1122</v>
      </c>
      <c r="J102" s="11">
        <f t="shared" si="50"/>
        <v>1122</v>
      </c>
      <c r="K102" s="5">
        <f t="shared" ref="K102:K124" si="51">+J102/(F102*H102*10^-5)</f>
        <v>11590.90909090909</v>
      </c>
      <c r="L102" s="39">
        <v>1</v>
      </c>
      <c r="M102" s="37">
        <f t="shared" si="46"/>
        <v>1</v>
      </c>
      <c r="N102" s="38"/>
      <c r="O102" s="46"/>
      <c r="P102" s="42">
        <f t="shared" si="49"/>
        <v>1122</v>
      </c>
      <c r="Q102" s="38"/>
      <c r="R102" s="38"/>
      <c r="S102" s="38"/>
      <c r="T102" s="38">
        <v>35</v>
      </c>
      <c r="U102" s="37">
        <f t="shared" si="48"/>
        <v>1</v>
      </c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43"/>
      <c r="AH102" s="44"/>
      <c r="AI102" s="45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</row>
    <row r="103" spans="1:86">
      <c r="A103" s="33">
        <v>45772</v>
      </c>
      <c r="B103" s="1" t="s">
        <v>532</v>
      </c>
      <c r="C103" s="1" t="s">
        <v>532</v>
      </c>
      <c r="D103" s="1"/>
      <c r="E103" s="38" t="s">
        <v>245</v>
      </c>
      <c r="F103" s="38">
        <v>62</v>
      </c>
      <c r="G103" s="38" t="s">
        <v>287</v>
      </c>
      <c r="H103" s="38">
        <v>115</v>
      </c>
      <c r="I103" s="38">
        <v>1128</v>
      </c>
      <c r="J103" s="11">
        <f t="shared" si="50"/>
        <v>1128</v>
      </c>
      <c r="K103" s="5">
        <f t="shared" si="51"/>
        <v>15820.47685834502</v>
      </c>
      <c r="L103" s="39">
        <v>1</v>
      </c>
      <c r="M103" s="37">
        <f t="shared" si="46"/>
        <v>1</v>
      </c>
      <c r="N103" s="38"/>
      <c r="O103" s="46"/>
      <c r="P103" s="42">
        <f t="shared" si="49"/>
        <v>1128</v>
      </c>
      <c r="Q103" s="38"/>
      <c r="R103" s="38"/>
      <c r="S103" s="38"/>
      <c r="T103" s="38">
        <v>36</v>
      </c>
      <c r="U103" s="37">
        <f t="shared" si="48"/>
        <v>1</v>
      </c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43"/>
      <c r="AH103" s="44"/>
      <c r="AI103" s="45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</row>
    <row r="104" spans="1:86">
      <c r="A104" s="33">
        <v>45798</v>
      </c>
      <c r="B104" s="1" t="s">
        <v>533</v>
      </c>
      <c r="C104" s="1" t="s">
        <v>533</v>
      </c>
      <c r="D104" s="1"/>
      <c r="E104" s="38" t="s">
        <v>245</v>
      </c>
      <c r="F104" s="38">
        <v>80</v>
      </c>
      <c r="G104" s="38" t="s">
        <v>287</v>
      </c>
      <c r="H104" s="38">
        <v>115</v>
      </c>
      <c r="I104" s="38">
        <v>1182</v>
      </c>
      <c r="J104" s="11">
        <f t="shared" si="50"/>
        <v>1182</v>
      </c>
      <c r="K104" s="5">
        <f t="shared" si="51"/>
        <v>12847.82608695652</v>
      </c>
      <c r="L104" s="39">
        <v>1</v>
      </c>
      <c r="M104" s="37">
        <f t="shared" si="46"/>
        <v>1</v>
      </c>
      <c r="N104" s="38"/>
      <c r="O104" s="46"/>
      <c r="P104" s="42">
        <f t="shared" si="49"/>
        <v>1182</v>
      </c>
      <c r="Q104" s="38"/>
      <c r="R104" s="38"/>
      <c r="S104" s="38"/>
      <c r="T104" s="38"/>
      <c r="U104" s="37">
        <f t="shared" si="48"/>
        <v>1</v>
      </c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43"/>
      <c r="AH104" s="44"/>
      <c r="AI104" s="45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</row>
    <row r="105" spans="1:86">
      <c r="A105" s="33">
        <v>45798</v>
      </c>
      <c r="B105" s="1" t="s">
        <v>534</v>
      </c>
      <c r="C105" s="1" t="s">
        <v>534</v>
      </c>
      <c r="D105" s="1"/>
      <c r="E105" s="38" t="s">
        <v>245</v>
      </c>
      <c r="F105" s="38">
        <v>70</v>
      </c>
      <c r="G105" s="38" t="s">
        <v>287</v>
      </c>
      <c r="H105" s="38">
        <v>104</v>
      </c>
      <c r="I105" s="38">
        <v>832</v>
      </c>
      <c r="J105" s="11">
        <f t="shared" si="50"/>
        <v>832</v>
      </c>
      <c r="K105" s="5">
        <f t="shared" si="51"/>
        <v>11428.571428571428</v>
      </c>
      <c r="L105" s="39">
        <v>1</v>
      </c>
      <c r="M105" s="37">
        <f t="shared" si="46"/>
        <v>1</v>
      </c>
      <c r="N105" s="38"/>
      <c r="O105" s="46"/>
      <c r="P105" s="42">
        <f t="shared" si="49"/>
        <v>832</v>
      </c>
      <c r="Q105" s="38"/>
      <c r="R105" s="38"/>
      <c r="S105" s="38"/>
      <c r="T105" s="38"/>
      <c r="U105" s="37">
        <f t="shared" si="48"/>
        <v>1</v>
      </c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43"/>
      <c r="AH105" s="44"/>
      <c r="AI105" s="45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</row>
    <row r="106" spans="1:86">
      <c r="A106" s="33">
        <v>45798</v>
      </c>
      <c r="B106" s="1" t="s">
        <v>534</v>
      </c>
      <c r="C106" s="1" t="s">
        <v>534</v>
      </c>
      <c r="D106" s="1">
        <f>105-58</f>
        <v>47</v>
      </c>
      <c r="E106" s="38" t="s">
        <v>245</v>
      </c>
      <c r="F106" s="38">
        <v>70</v>
      </c>
      <c r="G106" s="38" t="s">
        <v>287</v>
      </c>
      <c r="H106" s="38">
        <v>104</v>
      </c>
      <c r="I106" s="38">
        <v>1012</v>
      </c>
      <c r="J106" s="11">
        <f t="shared" si="50"/>
        <v>1012</v>
      </c>
      <c r="K106" s="5">
        <f t="shared" si="51"/>
        <v>13901.0989010989</v>
      </c>
      <c r="L106" s="39">
        <v>1</v>
      </c>
      <c r="M106" s="37">
        <f t="shared" ref="M106:M131" si="52">+L106-X106-Z106-AD106-AB106-AF106-AH106-AJ106-AL106-AO106-AQ106-AS106-AU106-AW106-AY106-BA106-BC106-BE106-BG106-BI106-BK106-BM106-BO106-BQ106-BS106-BU106-BW106-BY106-CA106-CC106-CE106-CG106</f>
        <v>1</v>
      </c>
      <c r="N106" s="38"/>
      <c r="O106" s="46"/>
      <c r="P106" s="42">
        <f t="shared" si="49"/>
        <v>1012</v>
      </c>
      <c r="Q106" s="38"/>
      <c r="R106" s="38"/>
      <c r="S106" s="38"/>
      <c r="T106" s="38"/>
      <c r="U106" s="37">
        <f t="shared" si="48"/>
        <v>1</v>
      </c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43"/>
      <c r="AH106" s="44"/>
      <c r="AI106" s="45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</row>
    <row r="107" spans="1:86">
      <c r="A107" s="33">
        <v>45798</v>
      </c>
      <c r="B107" s="1" t="s">
        <v>535</v>
      </c>
      <c r="C107" s="1" t="s">
        <v>535</v>
      </c>
      <c r="D107" s="1"/>
      <c r="E107" s="38" t="s">
        <v>245</v>
      </c>
      <c r="F107" s="38">
        <v>160</v>
      </c>
      <c r="G107" s="38" t="s">
        <v>287</v>
      </c>
      <c r="H107" s="38">
        <v>115</v>
      </c>
      <c r="I107" s="38">
        <v>1198</v>
      </c>
      <c r="J107" s="11">
        <f t="shared" si="50"/>
        <v>1198</v>
      </c>
      <c r="K107" s="5">
        <f t="shared" si="51"/>
        <v>6510.8695652173901</v>
      </c>
      <c r="L107" s="39">
        <v>1</v>
      </c>
      <c r="M107" s="37">
        <f t="shared" si="52"/>
        <v>1</v>
      </c>
      <c r="N107" s="38"/>
      <c r="O107" s="46"/>
      <c r="P107" s="42">
        <f t="shared" si="49"/>
        <v>1198</v>
      </c>
      <c r="Q107" s="38"/>
      <c r="R107" s="38"/>
      <c r="S107" s="38"/>
      <c r="T107" s="38"/>
      <c r="U107" s="37">
        <f t="shared" si="48"/>
        <v>1</v>
      </c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43"/>
      <c r="AH107" s="44"/>
      <c r="AI107" s="45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</row>
    <row r="108" spans="1:86">
      <c r="A108" s="33">
        <v>45798</v>
      </c>
      <c r="B108" s="1" t="s">
        <v>419</v>
      </c>
      <c r="C108" s="1" t="s">
        <v>419</v>
      </c>
      <c r="D108" s="1">
        <f>103-58</f>
        <v>45</v>
      </c>
      <c r="E108" s="38" t="s">
        <v>245</v>
      </c>
      <c r="F108" s="38">
        <v>70</v>
      </c>
      <c r="G108" s="38" t="s">
        <v>287</v>
      </c>
      <c r="H108" s="38">
        <v>103</v>
      </c>
      <c r="I108" s="38">
        <v>1132</v>
      </c>
      <c r="J108" s="11">
        <f t="shared" si="50"/>
        <v>1132</v>
      </c>
      <c r="K108" s="5">
        <f t="shared" si="51"/>
        <v>15700.416088765602</v>
      </c>
      <c r="L108" s="39">
        <v>1</v>
      </c>
      <c r="M108" s="37">
        <f t="shared" si="52"/>
        <v>1</v>
      </c>
      <c r="N108" s="38" t="s">
        <v>248</v>
      </c>
      <c r="O108" s="46">
        <f>J108</f>
        <v>1132</v>
      </c>
      <c r="P108" s="42">
        <f t="shared" si="49"/>
        <v>0</v>
      </c>
      <c r="Q108" s="38"/>
      <c r="R108" s="38"/>
      <c r="S108" s="38"/>
      <c r="T108" s="38"/>
      <c r="U108" s="37">
        <f t="shared" si="48"/>
        <v>1</v>
      </c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43"/>
      <c r="AH108" s="44"/>
      <c r="AI108" s="45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</row>
    <row r="109" spans="1:86">
      <c r="A109" s="33">
        <v>45798</v>
      </c>
      <c r="B109" s="1" t="s">
        <v>536</v>
      </c>
      <c r="C109" s="1" t="s">
        <v>536</v>
      </c>
      <c r="D109" s="1"/>
      <c r="E109" s="38" t="s">
        <v>245</v>
      </c>
      <c r="F109" s="38">
        <v>80</v>
      </c>
      <c r="G109" s="38" t="s">
        <v>287</v>
      </c>
      <c r="H109" s="38">
        <v>119</v>
      </c>
      <c r="I109" s="38">
        <v>1236</v>
      </c>
      <c r="J109" s="11">
        <f t="shared" si="50"/>
        <v>1236</v>
      </c>
      <c r="K109" s="5">
        <f t="shared" si="51"/>
        <v>12983.193277310924</v>
      </c>
      <c r="L109" s="39">
        <v>1</v>
      </c>
      <c r="M109" s="37">
        <f t="shared" si="52"/>
        <v>1</v>
      </c>
      <c r="N109" s="38"/>
      <c r="O109" s="46"/>
      <c r="P109" s="42">
        <f t="shared" si="49"/>
        <v>1236</v>
      </c>
      <c r="Q109" s="38"/>
      <c r="R109" s="38"/>
      <c r="S109" s="38"/>
      <c r="T109" s="38"/>
      <c r="U109" s="37">
        <f t="shared" si="48"/>
        <v>1</v>
      </c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43"/>
      <c r="AH109" s="44"/>
      <c r="AI109" s="45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</row>
    <row r="110" spans="1:86">
      <c r="A110" s="33">
        <v>45798</v>
      </c>
      <c r="B110" s="1"/>
      <c r="C110" s="1"/>
      <c r="D110" s="1"/>
      <c r="E110" s="38" t="s">
        <v>245</v>
      </c>
      <c r="F110" s="38">
        <v>170</v>
      </c>
      <c r="G110" s="38" t="s">
        <v>287</v>
      </c>
      <c r="H110" s="38">
        <v>112</v>
      </c>
      <c r="I110" s="38">
        <v>1020</v>
      </c>
      <c r="J110" s="11">
        <f t="shared" si="50"/>
        <v>1020</v>
      </c>
      <c r="K110" s="5">
        <f t="shared" si="51"/>
        <v>5357.1428571428569</v>
      </c>
      <c r="L110" s="39">
        <v>1</v>
      </c>
      <c r="M110" s="37">
        <f t="shared" si="52"/>
        <v>1</v>
      </c>
      <c r="N110" s="38"/>
      <c r="O110" s="46"/>
      <c r="P110" s="42">
        <f t="shared" si="49"/>
        <v>1020</v>
      </c>
      <c r="Q110" s="38"/>
      <c r="R110" s="38"/>
      <c r="S110" s="38"/>
      <c r="T110" s="38"/>
      <c r="U110" s="37">
        <f t="shared" si="48"/>
        <v>1</v>
      </c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43"/>
      <c r="AH110" s="44"/>
      <c r="AI110" s="45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</row>
    <row r="111" spans="1:86">
      <c r="A111" s="33">
        <v>45798</v>
      </c>
      <c r="B111" s="1" t="s">
        <v>309</v>
      </c>
      <c r="C111" s="1" t="s">
        <v>309</v>
      </c>
      <c r="D111" s="1"/>
      <c r="E111" s="38" t="s">
        <v>245</v>
      </c>
      <c r="F111" s="38">
        <v>90</v>
      </c>
      <c r="G111" s="38" t="s">
        <v>287</v>
      </c>
      <c r="H111" s="38">
        <v>33</v>
      </c>
      <c r="I111" s="38">
        <v>1430</v>
      </c>
      <c r="J111" s="11">
        <f t="shared" si="50"/>
        <v>1430</v>
      </c>
      <c r="K111" s="5">
        <f t="shared" si="51"/>
        <v>48148.148148148146</v>
      </c>
      <c r="L111" s="39">
        <v>1</v>
      </c>
      <c r="M111" s="37">
        <f t="shared" si="52"/>
        <v>1</v>
      </c>
      <c r="N111" s="38"/>
      <c r="O111" s="46"/>
      <c r="P111" s="42">
        <f t="shared" si="49"/>
        <v>1430</v>
      </c>
      <c r="Q111" s="38"/>
      <c r="R111" s="38"/>
      <c r="S111" s="38"/>
      <c r="T111" s="38"/>
      <c r="U111" s="37">
        <f t="shared" si="48"/>
        <v>1</v>
      </c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43"/>
      <c r="AH111" s="44"/>
      <c r="AI111" s="45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</row>
    <row r="112" spans="1:86">
      <c r="A112" s="33">
        <v>45798</v>
      </c>
      <c r="B112" s="1" t="s">
        <v>537</v>
      </c>
      <c r="C112" s="1" t="s">
        <v>537</v>
      </c>
      <c r="D112" s="1"/>
      <c r="E112" s="38" t="s">
        <v>245</v>
      </c>
      <c r="F112" s="38">
        <v>170</v>
      </c>
      <c r="G112" s="38" t="s">
        <v>287</v>
      </c>
      <c r="H112" s="38">
        <v>113</v>
      </c>
      <c r="I112" s="38">
        <v>890</v>
      </c>
      <c r="J112" s="11">
        <f t="shared" si="50"/>
        <v>890</v>
      </c>
      <c r="K112" s="5">
        <f t="shared" si="51"/>
        <v>4633.0036439354499</v>
      </c>
      <c r="L112" s="39">
        <v>1</v>
      </c>
      <c r="M112" s="37">
        <f t="shared" si="52"/>
        <v>1</v>
      </c>
      <c r="N112" s="38"/>
      <c r="O112" s="46"/>
      <c r="P112" s="42">
        <f t="shared" si="49"/>
        <v>890</v>
      </c>
      <c r="Q112" s="38"/>
      <c r="R112" s="38"/>
      <c r="S112" s="38"/>
      <c r="T112" s="38"/>
      <c r="U112" s="37">
        <f t="shared" ref="U112:U133" si="53">+L112-X112-Z112-AD112-AB112-AF112-AH112-AJ112-AL112-AO112-AQ112-AS112-AU112-AW112-AY112-BA112-BC112-BE112-BG112-BI112-BK112-BM112-BO112-BQ112-BS112-BU112-BW112-BY112-CA112-CC112-CE112-CG112</f>
        <v>1</v>
      </c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43"/>
      <c r="AH112" s="44"/>
      <c r="AI112" s="45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</row>
    <row r="113" spans="1:86" ht="43.2">
      <c r="A113" s="33">
        <v>45798</v>
      </c>
      <c r="B113" s="1"/>
      <c r="C113" s="1"/>
      <c r="D113" s="1"/>
      <c r="E113" s="38" t="s">
        <v>245</v>
      </c>
      <c r="F113" s="38">
        <v>150</v>
      </c>
      <c r="G113" s="38" t="s">
        <v>287</v>
      </c>
      <c r="H113" s="38">
        <v>113</v>
      </c>
      <c r="I113" s="38">
        <v>1098</v>
      </c>
      <c r="J113" s="11">
        <f t="shared" si="50"/>
        <v>1098</v>
      </c>
      <c r="K113" s="5">
        <f t="shared" si="51"/>
        <v>6477.8761061946898</v>
      </c>
      <c r="L113" s="39">
        <v>1</v>
      </c>
      <c r="M113" s="37">
        <f t="shared" si="52"/>
        <v>1</v>
      </c>
      <c r="N113" s="38"/>
      <c r="O113" s="46"/>
      <c r="P113" s="42">
        <f t="shared" si="49"/>
        <v>1098</v>
      </c>
      <c r="Q113" s="38" t="s">
        <v>538</v>
      </c>
      <c r="R113" s="38"/>
      <c r="S113" s="38"/>
      <c r="T113" s="38"/>
      <c r="U113" s="37">
        <f t="shared" si="53"/>
        <v>1</v>
      </c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43"/>
      <c r="AH113" s="44"/>
      <c r="AI113" s="45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</row>
    <row r="114" spans="1:86">
      <c r="A114" s="33">
        <v>45798</v>
      </c>
      <c r="B114" s="1" t="s">
        <v>539</v>
      </c>
      <c r="C114" s="1" t="s">
        <v>539</v>
      </c>
      <c r="D114" s="1"/>
      <c r="E114" s="38" t="s">
        <v>245</v>
      </c>
      <c r="F114" s="38">
        <v>155</v>
      </c>
      <c r="G114" s="38" t="s">
        <v>287</v>
      </c>
      <c r="H114" s="38">
        <v>112.5</v>
      </c>
      <c r="I114" s="38">
        <v>1092</v>
      </c>
      <c r="J114" s="11">
        <f t="shared" si="50"/>
        <v>1092</v>
      </c>
      <c r="K114" s="5">
        <f t="shared" si="51"/>
        <v>6262.3655913978491</v>
      </c>
      <c r="L114" s="39">
        <v>1</v>
      </c>
      <c r="M114" s="37">
        <f t="shared" si="52"/>
        <v>1</v>
      </c>
      <c r="N114" s="38"/>
      <c r="O114" s="46"/>
      <c r="P114" s="42">
        <f t="shared" si="49"/>
        <v>1092</v>
      </c>
      <c r="Q114" s="38"/>
      <c r="R114" s="38"/>
      <c r="S114" s="38"/>
      <c r="T114" s="38"/>
      <c r="U114" s="37">
        <f t="shared" si="53"/>
        <v>1</v>
      </c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43"/>
      <c r="AH114" s="44"/>
      <c r="AI114" s="45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</row>
    <row r="115" spans="1:86">
      <c r="A115" s="33">
        <v>45798</v>
      </c>
      <c r="B115" s="1"/>
      <c r="C115" s="1"/>
      <c r="D115" s="1"/>
      <c r="E115" s="38" t="s">
        <v>245</v>
      </c>
      <c r="F115" s="38">
        <v>90</v>
      </c>
      <c r="G115" s="38" t="s">
        <v>287</v>
      </c>
      <c r="H115" s="38">
        <v>32.5</v>
      </c>
      <c r="I115" s="38">
        <v>359</v>
      </c>
      <c r="J115" s="11">
        <f t="shared" si="50"/>
        <v>359</v>
      </c>
      <c r="K115" s="5">
        <f t="shared" si="51"/>
        <v>12273.504273504273</v>
      </c>
      <c r="L115" s="39">
        <v>1</v>
      </c>
      <c r="M115" s="37">
        <f t="shared" si="52"/>
        <v>1</v>
      </c>
      <c r="N115" s="38"/>
      <c r="O115" s="46"/>
      <c r="P115" s="42">
        <f t="shared" si="49"/>
        <v>359</v>
      </c>
      <c r="Q115" s="38"/>
      <c r="R115" s="38"/>
      <c r="S115" s="38"/>
      <c r="T115" s="38"/>
      <c r="U115" s="37">
        <f t="shared" si="53"/>
        <v>1</v>
      </c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43"/>
      <c r="AH115" s="44"/>
      <c r="AI115" s="45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</row>
    <row r="116" spans="1:86">
      <c r="A116" s="33">
        <v>45798</v>
      </c>
      <c r="B116" s="1" t="s">
        <v>537</v>
      </c>
      <c r="C116" s="1" t="s">
        <v>537</v>
      </c>
      <c r="D116" s="1"/>
      <c r="E116" s="38" t="s">
        <v>245</v>
      </c>
      <c r="F116" s="38">
        <v>170</v>
      </c>
      <c r="G116" s="38" t="s">
        <v>287</v>
      </c>
      <c r="H116" s="38">
        <v>113</v>
      </c>
      <c r="I116" s="38">
        <v>1256</v>
      </c>
      <c r="J116" s="11">
        <f t="shared" si="50"/>
        <v>1256</v>
      </c>
      <c r="K116" s="5">
        <f t="shared" si="51"/>
        <v>6538.2613222280052</v>
      </c>
      <c r="L116" s="39">
        <v>1</v>
      </c>
      <c r="M116" s="37">
        <f t="shared" si="52"/>
        <v>1</v>
      </c>
      <c r="N116" s="38"/>
      <c r="O116" s="46"/>
      <c r="P116" s="42">
        <f t="shared" si="49"/>
        <v>1256</v>
      </c>
      <c r="Q116" s="38"/>
      <c r="R116" s="38"/>
      <c r="S116" s="38"/>
      <c r="T116" s="38"/>
      <c r="U116" s="37">
        <f t="shared" si="53"/>
        <v>1</v>
      </c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43"/>
      <c r="AH116" s="44"/>
      <c r="AI116" s="45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</row>
    <row r="117" spans="1:86">
      <c r="A117" s="33">
        <v>45798</v>
      </c>
      <c r="B117" s="1" t="s">
        <v>419</v>
      </c>
      <c r="C117" s="1" t="s">
        <v>419</v>
      </c>
      <c r="D117" s="1"/>
      <c r="E117" s="38" t="s">
        <v>245</v>
      </c>
      <c r="F117" s="38">
        <v>70</v>
      </c>
      <c r="G117" s="38" t="s">
        <v>287</v>
      </c>
      <c r="H117" s="38">
        <v>103</v>
      </c>
      <c r="I117" s="38">
        <v>1220</v>
      </c>
      <c r="J117" s="11">
        <f t="shared" si="50"/>
        <v>1220</v>
      </c>
      <c r="K117" s="5">
        <f t="shared" si="51"/>
        <v>16920.943134535366</v>
      </c>
      <c r="L117" s="39">
        <v>1</v>
      </c>
      <c r="M117" s="37">
        <f t="shared" si="52"/>
        <v>1</v>
      </c>
      <c r="N117" s="38" t="s">
        <v>248</v>
      </c>
      <c r="O117" s="46">
        <f>J117</f>
        <v>1220</v>
      </c>
      <c r="P117" s="42">
        <f t="shared" si="49"/>
        <v>0</v>
      </c>
      <c r="Q117" s="38"/>
      <c r="R117" s="38"/>
      <c r="S117" s="38"/>
      <c r="T117" s="38"/>
      <c r="U117" s="37">
        <f t="shared" si="53"/>
        <v>1</v>
      </c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43"/>
      <c r="AH117" s="44"/>
      <c r="AI117" s="45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</row>
    <row r="118" spans="1:86">
      <c r="A118" s="33">
        <v>45798</v>
      </c>
      <c r="B118" s="1" t="s">
        <v>380</v>
      </c>
      <c r="C118" s="1" t="s">
        <v>380</v>
      </c>
      <c r="D118" s="1"/>
      <c r="E118" s="38" t="s">
        <v>245</v>
      </c>
      <c r="F118" s="38">
        <v>70</v>
      </c>
      <c r="G118" s="38" t="s">
        <v>287</v>
      </c>
      <c r="H118" s="38">
        <v>105</v>
      </c>
      <c r="I118" s="38">
        <v>1040</v>
      </c>
      <c r="J118" s="11">
        <f t="shared" si="50"/>
        <v>1040</v>
      </c>
      <c r="K118" s="5">
        <f t="shared" si="51"/>
        <v>14149.659863945577</v>
      </c>
      <c r="L118" s="39">
        <v>1</v>
      </c>
      <c r="M118" s="37">
        <f t="shared" si="52"/>
        <v>1</v>
      </c>
      <c r="N118" s="38"/>
      <c r="O118" s="46"/>
      <c r="P118" s="42">
        <f t="shared" si="49"/>
        <v>1040</v>
      </c>
      <c r="Q118" s="38"/>
      <c r="R118" s="38"/>
      <c r="S118" s="38"/>
      <c r="T118" s="38"/>
      <c r="U118" s="37">
        <f t="shared" si="53"/>
        <v>1</v>
      </c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43"/>
      <c r="AH118" s="44"/>
      <c r="AI118" s="45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</row>
    <row r="119" spans="1:86">
      <c r="A119" s="33">
        <v>45798</v>
      </c>
      <c r="B119" s="1" t="s">
        <v>380</v>
      </c>
      <c r="C119" s="1" t="s">
        <v>380</v>
      </c>
      <c r="D119" s="1"/>
      <c r="E119" s="38" t="s">
        <v>245</v>
      </c>
      <c r="F119" s="38">
        <v>70</v>
      </c>
      <c r="G119" s="38" t="s">
        <v>287</v>
      </c>
      <c r="H119" s="38">
        <v>105</v>
      </c>
      <c r="I119" s="38">
        <v>970</v>
      </c>
      <c r="J119" s="11">
        <f t="shared" si="50"/>
        <v>970</v>
      </c>
      <c r="K119" s="5">
        <f t="shared" si="51"/>
        <v>13197.278911564625</v>
      </c>
      <c r="L119" s="39">
        <v>1</v>
      </c>
      <c r="M119" s="37">
        <f t="shared" si="52"/>
        <v>1</v>
      </c>
      <c r="N119" s="38"/>
      <c r="O119" s="46"/>
      <c r="P119" s="42">
        <f t="shared" si="49"/>
        <v>970</v>
      </c>
      <c r="Q119" s="38"/>
      <c r="R119" s="38"/>
      <c r="S119" s="38"/>
      <c r="T119" s="38"/>
      <c r="U119" s="37">
        <f t="shared" si="53"/>
        <v>1</v>
      </c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43"/>
      <c r="AH119" s="44"/>
      <c r="AI119" s="45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</row>
    <row r="120" spans="1:86">
      <c r="A120" s="33">
        <v>45798</v>
      </c>
      <c r="B120" s="1"/>
      <c r="C120" s="1"/>
      <c r="D120" s="1">
        <f>116-43.5</f>
        <v>72.5</v>
      </c>
      <c r="E120" s="38" t="s">
        <v>245</v>
      </c>
      <c r="F120" s="38">
        <v>65</v>
      </c>
      <c r="G120" s="38" t="s">
        <v>287</v>
      </c>
      <c r="H120" s="38">
        <v>119</v>
      </c>
      <c r="I120" s="38">
        <v>1062</v>
      </c>
      <c r="J120" s="11">
        <f t="shared" si="50"/>
        <v>1062</v>
      </c>
      <c r="K120" s="5">
        <f t="shared" si="51"/>
        <v>13729.799612152552</v>
      </c>
      <c r="L120" s="39">
        <v>1</v>
      </c>
      <c r="M120" s="37">
        <f t="shared" si="52"/>
        <v>1</v>
      </c>
      <c r="N120" s="38"/>
      <c r="O120" s="46"/>
      <c r="P120" s="42">
        <f t="shared" si="49"/>
        <v>1062</v>
      </c>
      <c r="Q120" s="38"/>
      <c r="R120" s="38"/>
      <c r="S120" s="38"/>
      <c r="T120" s="38"/>
      <c r="U120" s="37">
        <f t="shared" si="53"/>
        <v>1</v>
      </c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43"/>
      <c r="AH120" s="44"/>
      <c r="AI120" s="45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</row>
    <row r="121" spans="1:86">
      <c r="A121" s="33">
        <v>45798</v>
      </c>
      <c r="B121" s="1" t="s">
        <v>534</v>
      </c>
      <c r="C121" s="1" t="s">
        <v>534</v>
      </c>
      <c r="D121" s="1"/>
      <c r="E121" s="38" t="s">
        <v>245</v>
      </c>
      <c r="F121" s="38">
        <v>70</v>
      </c>
      <c r="G121" s="38" t="s">
        <v>287</v>
      </c>
      <c r="H121" s="38">
        <v>104</v>
      </c>
      <c r="I121" s="38">
        <v>1144</v>
      </c>
      <c r="J121" s="11">
        <f t="shared" si="50"/>
        <v>1144</v>
      </c>
      <c r="K121" s="5">
        <f t="shared" si="51"/>
        <v>15714.285714285714</v>
      </c>
      <c r="L121" s="39">
        <v>1</v>
      </c>
      <c r="M121" s="37">
        <f t="shared" si="52"/>
        <v>1</v>
      </c>
      <c r="N121" s="38"/>
      <c r="O121" s="46"/>
      <c r="P121" s="42">
        <f t="shared" si="49"/>
        <v>1144</v>
      </c>
      <c r="Q121" s="38"/>
      <c r="R121" s="38"/>
      <c r="S121" s="38"/>
      <c r="T121" s="38"/>
      <c r="U121" s="37">
        <f t="shared" si="53"/>
        <v>1</v>
      </c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43"/>
      <c r="AH121" s="44"/>
      <c r="AI121" s="45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</row>
    <row r="122" spans="1:86">
      <c r="A122" s="33">
        <v>45798</v>
      </c>
      <c r="B122" s="1"/>
      <c r="C122" s="1"/>
      <c r="D122" s="1"/>
      <c r="E122" s="38" t="s">
        <v>245</v>
      </c>
      <c r="F122" s="38">
        <v>70</v>
      </c>
      <c r="G122" s="38" t="s">
        <v>287</v>
      </c>
      <c r="H122" s="38">
        <v>100</v>
      </c>
      <c r="I122" s="38">
        <v>920</v>
      </c>
      <c r="J122" s="11">
        <f t="shared" si="50"/>
        <v>920</v>
      </c>
      <c r="K122" s="5">
        <f t="shared" si="51"/>
        <v>13142.857142857141</v>
      </c>
      <c r="L122" s="39">
        <v>1</v>
      </c>
      <c r="M122" s="37">
        <f t="shared" si="52"/>
        <v>1</v>
      </c>
      <c r="N122" s="38" t="s">
        <v>248</v>
      </c>
      <c r="O122" s="46">
        <f>J122</f>
        <v>920</v>
      </c>
      <c r="P122" s="42">
        <f t="shared" si="49"/>
        <v>0</v>
      </c>
      <c r="Q122" s="38"/>
      <c r="R122" s="38"/>
      <c r="S122" s="38"/>
      <c r="T122" s="38"/>
      <c r="U122" s="37">
        <f t="shared" si="53"/>
        <v>1</v>
      </c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43"/>
      <c r="AH122" s="44"/>
      <c r="AI122" s="45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</row>
    <row r="123" spans="1:86">
      <c r="A123" s="33">
        <v>45798</v>
      </c>
      <c r="B123" s="1"/>
      <c r="C123" s="1"/>
      <c r="D123" s="1"/>
      <c r="E123" s="38" t="s">
        <v>245</v>
      </c>
      <c r="F123" s="38">
        <v>55</v>
      </c>
      <c r="G123" s="38" t="s">
        <v>287</v>
      </c>
      <c r="H123" s="38">
        <v>104</v>
      </c>
      <c r="I123" s="38">
        <v>1098</v>
      </c>
      <c r="J123" s="11">
        <f t="shared" si="50"/>
        <v>1098</v>
      </c>
      <c r="K123" s="5">
        <f t="shared" si="51"/>
        <v>19195.804195804194</v>
      </c>
      <c r="L123" s="39">
        <v>1</v>
      </c>
      <c r="M123" s="37">
        <f t="shared" si="52"/>
        <v>1</v>
      </c>
      <c r="N123" s="38"/>
      <c r="O123" s="46"/>
      <c r="P123" s="42">
        <f t="shared" ref="P123:P155" si="54">+J123-O123</f>
        <v>1098</v>
      </c>
      <c r="Q123" s="38"/>
      <c r="R123" s="38"/>
      <c r="S123" s="38"/>
      <c r="T123" s="38"/>
      <c r="U123" s="37">
        <f t="shared" si="53"/>
        <v>1</v>
      </c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43"/>
      <c r="AH123" s="44"/>
      <c r="AI123" s="45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</row>
    <row r="124" spans="1:86">
      <c r="A124" s="33">
        <v>45798</v>
      </c>
      <c r="B124" s="1" t="s">
        <v>419</v>
      </c>
      <c r="C124" s="1" t="s">
        <v>419</v>
      </c>
      <c r="D124" s="1"/>
      <c r="E124" s="38" t="s">
        <v>245</v>
      </c>
      <c r="F124" s="38">
        <v>70</v>
      </c>
      <c r="G124" s="38" t="s">
        <v>287</v>
      </c>
      <c r="H124" s="38">
        <v>103</v>
      </c>
      <c r="I124" s="38">
        <v>990</v>
      </c>
      <c r="J124" s="11">
        <f t="shared" ref="J124:J157" si="55">IFERROR(IF(AND(V124=3,U124&gt;0),I124,I124*U124),"Verify")</f>
        <v>990</v>
      </c>
      <c r="K124" s="5">
        <f t="shared" si="51"/>
        <v>13730.929264909846</v>
      </c>
      <c r="L124" s="39">
        <v>1</v>
      </c>
      <c r="M124" s="37">
        <f t="shared" si="52"/>
        <v>1</v>
      </c>
      <c r="N124" s="38" t="s">
        <v>248</v>
      </c>
      <c r="O124" s="46">
        <f>J124</f>
        <v>990</v>
      </c>
      <c r="P124" s="42">
        <f t="shared" si="54"/>
        <v>0</v>
      </c>
      <c r="Q124" s="38"/>
      <c r="R124" s="38"/>
      <c r="S124" s="38"/>
      <c r="T124" s="38"/>
      <c r="U124" s="37">
        <f t="shared" si="53"/>
        <v>1</v>
      </c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43"/>
      <c r="AH124" s="44"/>
      <c r="AI124" s="45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</row>
    <row r="125" spans="1:86">
      <c r="A125" s="33">
        <v>45798</v>
      </c>
      <c r="B125" s="1" t="s">
        <v>419</v>
      </c>
      <c r="C125" s="1" t="s">
        <v>419</v>
      </c>
      <c r="D125" s="1"/>
      <c r="E125" s="38" t="s">
        <v>245</v>
      </c>
      <c r="F125" s="38">
        <v>70</v>
      </c>
      <c r="G125" s="38" t="s">
        <v>287</v>
      </c>
      <c r="H125" s="38">
        <v>103</v>
      </c>
      <c r="I125" s="38">
        <v>1012</v>
      </c>
      <c r="J125" s="11">
        <f t="shared" si="55"/>
        <v>1012</v>
      </c>
      <c r="K125" s="5">
        <f t="shared" ref="K125:K133" si="56">+J125/(F125*H125*10^-5)</f>
        <v>14036.061026352287</v>
      </c>
      <c r="L125" s="39">
        <v>1</v>
      </c>
      <c r="M125" s="37">
        <f t="shared" si="52"/>
        <v>1</v>
      </c>
      <c r="N125" s="38" t="s">
        <v>248</v>
      </c>
      <c r="O125" s="46">
        <f>J125</f>
        <v>1012</v>
      </c>
      <c r="P125" s="42">
        <f t="shared" si="54"/>
        <v>0</v>
      </c>
      <c r="Q125" s="38"/>
      <c r="R125" s="38"/>
      <c r="S125" s="38"/>
      <c r="T125" s="38"/>
      <c r="U125" s="37">
        <f t="shared" si="53"/>
        <v>1</v>
      </c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43"/>
      <c r="AH125" s="44"/>
      <c r="AI125" s="45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</row>
    <row r="126" spans="1:86">
      <c r="A126" s="33">
        <v>45484</v>
      </c>
      <c r="B126" s="1"/>
      <c r="C126" s="1" t="s">
        <v>540</v>
      </c>
      <c r="D126" s="1"/>
      <c r="E126" s="38" t="s">
        <v>29</v>
      </c>
      <c r="F126" s="38">
        <v>100</v>
      </c>
      <c r="G126" s="38" t="s">
        <v>122</v>
      </c>
      <c r="H126" s="38">
        <v>117</v>
      </c>
      <c r="I126" s="38">
        <v>1051</v>
      </c>
      <c r="J126" s="11">
        <f t="shared" si="55"/>
        <v>1051</v>
      </c>
      <c r="K126" s="5">
        <f t="shared" si="56"/>
        <v>8982.9059829059825</v>
      </c>
      <c r="L126" s="39">
        <v>1</v>
      </c>
      <c r="M126" s="37">
        <f t="shared" si="52"/>
        <v>1</v>
      </c>
      <c r="N126" s="38"/>
      <c r="O126" s="46"/>
      <c r="P126" s="42">
        <f t="shared" si="54"/>
        <v>1051</v>
      </c>
      <c r="Q126" s="38"/>
      <c r="R126" s="38"/>
      <c r="S126" s="38"/>
      <c r="T126" s="38"/>
      <c r="U126" s="37">
        <f t="shared" si="53"/>
        <v>1</v>
      </c>
      <c r="V126" s="38">
        <v>4</v>
      </c>
      <c r="W126" s="38" t="s">
        <v>541</v>
      </c>
      <c r="X126" s="38"/>
      <c r="Y126" s="38"/>
      <c r="Z126" s="38"/>
      <c r="AA126" s="38"/>
      <c r="AB126" s="38"/>
      <c r="AC126" s="38"/>
      <c r="AD126" s="38"/>
      <c r="AE126" s="38"/>
      <c r="AF126" s="38"/>
      <c r="AG126" s="43"/>
      <c r="AH126" s="44"/>
      <c r="AI126" s="45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</row>
    <row r="127" spans="1:86">
      <c r="A127" s="33">
        <v>45470</v>
      </c>
      <c r="B127" s="1" t="s">
        <v>542</v>
      </c>
      <c r="C127" s="1" t="s">
        <v>542</v>
      </c>
      <c r="D127" s="1"/>
      <c r="E127" s="38" t="s">
        <v>37</v>
      </c>
      <c r="F127" s="38">
        <v>450</v>
      </c>
      <c r="G127" s="38" t="s">
        <v>543</v>
      </c>
      <c r="H127" s="38">
        <v>105</v>
      </c>
      <c r="I127" s="38">
        <v>350</v>
      </c>
      <c r="J127" s="11">
        <f t="shared" si="55"/>
        <v>350</v>
      </c>
      <c r="K127" s="5">
        <f t="shared" si="56"/>
        <v>740.74074074074065</v>
      </c>
      <c r="L127" s="39">
        <v>1</v>
      </c>
      <c r="M127" s="37">
        <f t="shared" si="52"/>
        <v>1</v>
      </c>
      <c r="N127" s="38"/>
      <c r="O127" s="46"/>
      <c r="P127" s="42">
        <f t="shared" si="54"/>
        <v>350</v>
      </c>
      <c r="Q127" s="38" t="s">
        <v>544</v>
      </c>
      <c r="R127" s="38"/>
      <c r="S127" s="38"/>
      <c r="T127" s="38"/>
      <c r="U127" s="37">
        <f t="shared" si="53"/>
        <v>1</v>
      </c>
      <c r="V127" s="38">
        <v>3</v>
      </c>
      <c r="W127" s="38">
        <v>1</v>
      </c>
      <c r="X127" s="38"/>
      <c r="Y127" s="38"/>
      <c r="Z127" s="38"/>
      <c r="AA127" s="38"/>
      <c r="AB127" s="38"/>
      <c r="AC127" s="38"/>
      <c r="AD127" s="38"/>
      <c r="AE127" s="38"/>
      <c r="AF127" s="38"/>
      <c r="AG127" s="43"/>
      <c r="AH127" s="44"/>
      <c r="AI127" s="45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</row>
    <row r="128" spans="1:86">
      <c r="A128" s="33">
        <v>45757</v>
      </c>
      <c r="B128" s="1"/>
      <c r="C128" s="1" t="s">
        <v>545</v>
      </c>
      <c r="D128" s="1"/>
      <c r="E128" s="38" t="s">
        <v>37</v>
      </c>
      <c r="F128" s="38">
        <v>400</v>
      </c>
      <c r="G128" s="38" t="s">
        <v>38</v>
      </c>
      <c r="H128" s="38">
        <v>81</v>
      </c>
      <c r="I128" s="38">
        <v>100</v>
      </c>
      <c r="J128" s="11">
        <f t="shared" si="55"/>
        <v>100</v>
      </c>
      <c r="K128" s="5">
        <f t="shared" si="56"/>
        <v>308.64197530864197</v>
      </c>
      <c r="L128" s="39">
        <v>1</v>
      </c>
      <c r="M128" s="37">
        <f t="shared" si="52"/>
        <v>1</v>
      </c>
      <c r="N128" s="38"/>
      <c r="O128" s="46"/>
      <c r="P128" s="42">
        <f t="shared" si="54"/>
        <v>100</v>
      </c>
      <c r="Q128" s="38" t="s">
        <v>546</v>
      </c>
      <c r="R128" s="38"/>
      <c r="S128" s="38"/>
      <c r="T128" s="38"/>
      <c r="U128" s="37">
        <f t="shared" si="53"/>
        <v>1</v>
      </c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43"/>
      <c r="AH128" s="44"/>
      <c r="AI128" s="45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</row>
    <row r="129" spans="1:86">
      <c r="A129" s="33">
        <v>45609</v>
      </c>
      <c r="B129" s="1" t="s">
        <v>542</v>
      </c>
      <c r="C129" s="1" t="s">
        <v>542</v>
      </c>
      <c r="D129" s="1" t="s">
        <v>547</v>
      </c>
      <c r="E129" s="38" t="s">
        <v>37</v>
      </c>
      <c r="F129" s="38">
        <v>450</v>
      </c>
      <c r="G129" s="38" t="s">
        <v>543</v>
      </c>
      <c r="H129" s="38">
        <v>105</v>
      </c>
      <c r="I129" s="38">
        <v>300</v>
      </c>
      <c r="J129" s="11">
        <f t="shared" si="55"/>
        <v>300</v>
      </c>
      <c r="K129" s="5">
        <f t="shared" si="56"/>
        <v>634.92063492063482</v>
      </c>
      <c r="L129" s="39">
        <v>1</v>
      </c>
      <c r="M129" s="37">
        <f t="shared" si="52"/>
        <v>1</v>
      </c>
      <c r="N129" s="38"/>
      <c r="O129" s="46"/>
      <c r="P129" s="42">
        <f t="shared" si="54"/>
        <v>300</v>
      </c>
      <c r="Q129" s="38" t="s">
        <v>449</v>
      </c>
      <c r="R129" s="38"/>
      <c r="S129" s="38"/>
      <c r="T129" s="38"/>
      <c r="U129" s="37">
        <f t="shared" si="53"/>
        <v>1</v>
      </c>
      <c r="V129" s="38">
        <v>3</v>
      </c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43"/>
      <c r="AH129" s="44"/>
      <c r="AI129" s="45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</row>
    <row r="130" spans="1:86">
      <c r="A130" s="33">
        <v>45609</v>
      </c>
      <c r="B130" s="1" t="s">
        <v>548</v>
      </c>
      <c r="C130" s="1" t="s">
        <v>548</v>
      </c>
      <c r="D130" s="1"/>
      <c r="E130" s="38" t="s">
        <v>37</v>
      </c>
      <c r="F130" s="38">
        <v>250</v>
      </c>
      <c r="G130" s="38" t="s">
        <v>543</v>
      </c>
      <c r="H130" s="38">
        <v>51</v>
      </c>
      <c r="I130" s="38">
        <v>200</v>
      </c>
      <c r="J130" s="11">
        <f t="shared" si="55"/>
        <v>200</v>
      </c>
      <c r="K130" s="5">
        <f t="shared" si="56"/>
        <v>1568.627450980392</v>
      </c>
      <c r="L130" s="39">
        <v>1</v>
      </c>
      <c r="M130" s="37">
        <f t="shared" si="52"/>
        <v>1</v>
      </c>
      <c r="N130" s="38"/>
      <c r="O130" s="46"/>
      <c r="P130" s="42">
        <f t="shared" si="54"/>
        <v>200</v>
      </c>
      <c r="Q130" s="38" t="s">
        <v>449</v>
      </c>
      <c r="R130" s="38"/>
      <c r="S130" s="38"/>
      <c r="T130" s="38"/>
      <c r="U130" s="37">
        <f t="shared" si="53"/>
        <v>1</v>
      </c>
      <c r="V130" s="38">
        <v>3</v>
      </c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43"/>
      <c r="AH130" s="44"/>
      <c r="AI130" s="45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</row>
    <row r="131" spans="1:86" ht="43.2">
      <c r="A131" s="33">
        <v>45722</v>
      </c>
      <c r="B131" s="1"/>
      <c r="C131" s="1" t="s">
        <v>549</v>
      </c>
      <c r="D131" s="1"/>
      <c r="E131" s="38" t="s">
        <v>37</v>
      </c>
      <c r="F131" s="38">
        <v>350</v>
      </c>
      <c r="G131" s="38" t="s">
        <v>543</v>
      </c>
      <c r="H131" s="38">
        <v>136</v>
      </c>
      <c r="I131" s="38">
        <v>1333</v>
      </c>
      <c r="J131" s="11">
        <f t="shared" si="55"/>
        <v>1333</v>
      </c>
      <c r="K131" s="5">
        <f t="shared" si="56"/>
        <v>2800.4201680672268</v>
      </c>
      <c r="L131" s="39">
        <v>1</v>
      </c>
      <c r="M131" s="37">
        <f t="shared" si="52"/>
        <v>1</v>
      </c>
      <c r="N131" s="38"/>
      <c r="O131" s="46"/>
      <c r="P131" s="42">
        <f t="shared" si="54"/>
        <v>1333</v>
      </c>
      <c r="Q131" s="38" t="s">
        <v>550</v>
      </c>
      <c r="R131" s="38"/>
      <c r="S131" s="38"/>
      <c r="T131" s="38"/>
      <c r="U131" s="37">
        <f t="shared" si="53"/>
        <v>1</v>
      </c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43"/>
      <c r="AH131" s="44"/>
      <c r="AI131" s="45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</row>
    <row r="132" spans="1:86">
      <c r="A132" s="33">
        <v>45471</v>
      </c>
      <c r="B132" s="1"/>
      <c r="C132" s="1"/>
      <c r="D132" s="1"/>
      <c r="E132" s="38" t="s">
        <v>112</v>
      </c>
      <c r="F132" s="38">
        <v>128</v>
      </c>
      <c r="G132" s="38" t="s">
        <v>551</v>
      </c>
      <c r="H132" s="38">
        <v>112</v>
      </c>
      <c r="I132" s="38">
        <v>1140</v>
      </c>
      <c r="J132" s="11">
        <f t="shared" si="55"/>
        <v>1140</v>
      </c>
      <c r="K132" s="5">
        <f t="shared" si="56"/>
        <v>7952.0089285714275</v>
      </c>
      <c r="L132" s="39">
        <v>1</v>
      </c>
      <c r="M132" s="37">
        <f t="shared" ref="M132:M133" si="57">+L132-X132-Z132-AD132-AB132-AF132-AH132-AJ132-AL132-AO132-AQ132-AS132-AU132-AW132-AY132-BA132-BC132-BE132-BG132-BI132-BK132-BM132-BO132-BQ132-BS132-BU132-BW132-BY132-CA132-CC132-CE132-CG132</f>
        <v>1</v>
      </c>
      <c r="N132" s="38"/>
      <c r="O132" s="46"/>
      <c r="P132" s="42">
        <f t="shared" si="54"/>
        <v>1140</v>
      </c>
      <c r="Q132" s="38" t="s">
        <v>485</v>
      </c>
      <c r="R132" s="38"/>
      <c r="S132" s="38"/>
      <c r="T132" s="38"/>
      <c r="U132" s="37">
        <f t="shared" si="53"/>
        <v>1</v>
      </c>
      <c r="V132" s="38">
        <v>3</v>
      </c>
      <c r="W132" s="38" t="s">
        <v>552</v>
      </c>
      <c r="X132" s="38"/>
      <c r="Y132" s="38"/>
      <c r="Z132" s="38"/>
      <c r="AA132" s="38"/>
      <c r="AB132" s="38"/>
      <c r="AC132" s="38"/>
      <c r="AD132" s="38"/>
      <c r="AE132" s="38"/>
      <c r="AF132" s="38"/>
      <c r="AG132" s="43"/>
      <c r="AH132" s="44"/>
      <c r="AI132" s="45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</row>
    <row r="133" spans="1:86">
      <c r="A133" s="33">
        <v>45485</v>
      </c>
      <c r="B133" s="1" t="s">
        <v>553</v>
      </c>
      <c r="C133" s="1" t="s">
        <v>554</v>
      </c>
      <c r="D133" s="1"/>
      <c r="E133" s="38" t="s">
        <v>83</v>
      </c>
      <c r="F133" s="38">
        <v>19</v>
      </c>
      <c r="G133" s="38" t="s">
        <v>555</v>
      </c>
      <c r="H133" s="38">
        <v>120</v>
      </c>
      <c r="I133" s="38">
        <v>221</v>
      </c>
      <c r="J133" s="11">
        <f t="shared" si="55"/>
        <v>442</v>
      </c>
      <c r="K133" s="5">
        <f t="shared" si="56"/>
        <v>19385.964912280702</v>
      </c>
      <c r="L133" s="39">
        <v>2</v>
      </c>
      <c r="M133" s="37">
        <f t="shared" si="57"/>
        <v>2</v>
      </c>
      <c r="N133" s="38"/>
      <c r="O133" s="46"/>
      <c r="P133" s="42">
        <f t="shared" si="54"/>
        <v>442</v>
      </c>
      <c r="Q133" s="38"/>
      <c r="R133" s="38"/>
      <c r="S133" s="38"/>
      <c r="T133" s="38"/>
      <c r="U133" s="37">
        <f t="shared" si="53"/>
        <v>2</v>
      </c>
      <c r="V133" s="38">
        <v>4</v>
      </c>
      <c r="W133" s="38" t="s">
        <v>556</v>
      </c>
      <c r="X133" s="38"/>
      <c r="Y133" s="38"/>
      <c r="Z133" s="38"/>
      <c r="AA133" s="38"/>
      <c r="AB133" s="38"/>
      <c r="AC133" s="38"/>
      <c r="AD133" s="38"/>
      <c r="AE133" s="38"/>
      <c r="AF133" s="38"/>
      <c r="AG133" s="43"/>
      <c r="AH133" s="44"/>
      <c r="AI133" s="45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</row>
    <row r="134" spans="1:86">
      <c r="A134" s="33">
        <v>45485</v>
      </c>
      <c r="B134" s="1"/>
      <c r="C134" s="1"/>
      <c r="D134" s="1"/>
      <c r="E134" s="38" t="s">
        <v>83</v>
      </c>
      <c r="F134" s="38">
        <v>90</v>
      </c>
      <c r="G134" s="38" t="s">
        <v>557</v>
      </c>
      <c r="H134" s="38">
        <v>51</v>
      </c>
      <c r="I134" s="38">
        <v>276</v>
      </c>
      <c r="J134" s="11">
        <f t="shared" si="55"/>
        <v>552</v>
      </c>
      <c r="K134" s="5">
        <f t="shared" ref="K134:K135" si="58">+J134/(F134*H134*10^-5)</f>
        <v>12026.143790849672</v>
      </c>
      <c r="L134" s="39">
        <v>2</v>
      </c>
      <c r="M134" s="37">
        <f t="shared" ref="M134:M148" si="59">+L134-X134-Z134-AD134-AB134-AF134-AH134-AJ134-AL134-AO134-AQ134-AS134-AU134-AW134-AY134-BA134-BC134-BE134-BG134-BI134-BK134-BM134-BO134-BQ134-BS134-BU134-BW134-BY134-CA134-CC134-CE134-CG134</f>
        <v>2</v>
      </c>
      <c r="N134" s="38"/>
      <c r="O134" s="46"/>
      <c r="P134" s="42">
        <f t="shared" si="54"/>
        <v>552</v>
      </c>
      <c r="Q134" s="38"/>
      <c r="R134" s="38"/>
      <c r="S134" s="38"/>
      <c r="T134" s="38"/>
      <c r="U134" s="37">
        <f t="shared" ref="U134:U152" si="60">+L134-X134-Z134-AD134-AB134-AF134-AH134-AJ134-AL134-AO134-AQ134-AS134-AU134-AW134-AY134-BA134-BC134-BE134-BG134-BI134-BK134-BM134-BO134-BQ134-BS134-BU134-BW134-BY134-CA134-CC134-CE134-CG134</f>
        <v>2</v>
      </c>
      <c r="V134" s="38">
        <v>4</v>
      </c>
      <c r="W134" s="38" t="s">
        <v>558</v>
      </c>
      <c r="X134" s="38"/>
      <c r="Y134" s="38"/>
      <c r="Z134" s="38"/>
      <c r="AA134" s="38"/>
      <c r="AB134" s="38"/>
      <c r="AC134" s="38"/>
      <c r="AD134" s="38"/>
      <c r="AE134" s="38"/>
      <c r="AF134" s="38"/>
      <c r="AG134" s="43"/>
      <c r="AH134" s="44"/>
      <c r="AI134" s="45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</row>
    <row r="135" spans="1:86">
      <c r="A135" s="33">
        <v>45776</v>
      </c>
      <c r="B135" s="1" t="s">
        <v>325</v>
      </c>
      <c r="C135" s="1" t="s">
        <v>325</v>
      </c>
      <c r="D135" s="1"/>
      <c r="E135" s="38" t="s">
        <v>92</v>
      </c>
      <c r="F135" s="38">
        <v>140</v>
      </c>
      <c r="G135" s="38" t="s">
        <v>315</v>
      </c>
      <c r="H135" s="38">
        <v>90</v>
      </c>
      <c r="I135" s="38">
        <v>863.1</v>
      </c>
      <c r="J135" s="11">
        <f t="shared" si="55"/>
        <v>13809.6</v>
      </c>
      <c r="K135" s="5">
        <f t="shared" si="58"/>
        <v>109600</v>
      </c>
      <c r="L135" s="39">
        <v>34</v>
      </c>
      <c r="M135" s="37">
        <f t="shared" si="59"/>
        <v>16</v>
      </c>
      <c r="N135" s="38"/>
      <c r="O135" s="46"/>
      <c r="P135" s="42">
        <f t="shared" si="54"/>
        <v>13809.6</v>
      </c>
      <c r="Q135" s="38"/>
      <c r="R135" s="38"/>
      <c r="S135" s="38"/>
      <c r="T135" s="38"/>
      <c r="U135" s="37">
        <f t="shared" si="60"/>
        <v>16</v>
      </c>
      <c r="V135" s="38"/>
      <c r="W135" s="38"/>
      <c r="X135" s="38"/>
      <c r="Y135" s="38"/>
      <c r="Z135" s="38"/>
      <c r="AA135" s="38"/>
      <c r="AB135" s="38"/>
      <c r="AC135" s="38"/>
      <c r="AD135" s="38">
        <v>12</v>
      </c>
      <c r="AE135" s="38"/>
      <c r="AF135" s="38"/>
      <c r="AG135" s="43"/>
      <c r="AH135" s="44">
        <v>6</v>
      </c>
      <c r="AI135" s="45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</row>
    <row r="136" spans="1:86">
      <c r="A136" s="33">
        <v>45776</v>
      </c>
      <c r="B136" s="1" t="s">
        <v>314</v>
      </c>
      <c r="C136" s="1" t="s">
        <v>314</v>
      </c>
      <c r="D136" s="1"/>
      <c r="E136" s="38" t="s">
        <v>92</v>
      </c>
      <c r="F136" s="38">
        <v>140</v>
      </c>
      <c r="G136" s="38" t="s">
        <v>315</v>
      </c>
      <c r="H136" s="38">
        <v>94</v>
      </c>
      <c r="I136" s="38">
        <v>901.4</v>
      </c>
      <c r="J136" s="11">
        <f t="shared" si="55"/>
        <v>39661.599999999999</v>
      </c>
      <c r="K136" s="5">
        <f t="shared" ref="K136:K148" si="61">+J136/(F136*H136*10^-5)</f>
        <v>301379.93920972641</v>
      </c>
      <c r="L136" s="39">
        <v>44</v>
      </c>
      <c r="M136" s="37">
        <f t="shared" si="59"/>
        <v>44</v>
      </c>
      <c r="N136" s="38"/>
      <c r="O136" s="46">
        <f>2364+12214</f>
        <v>14578</v>
      </c>
      <c r="P136" s="42">
        <f t="shared" si="54"/>
        <v>25083.599999999999</v>
      </c>
      <c r="Q136" s="38"/>
      <c r="R136" s="38"/>
      <c r="S136" s="38"/>
      <c r="T136" s="38"/>
      <c r="U136" s="37">
        <f t="shared" si="60"/>
        <v>44</v>
      </c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43"/>
      <c r="AH136" s="44"/>
      <c r="AI136" s="45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</row>
    <row r="137" spans="1:86">
      <c r="A137" s="33">
        <v>45801</v>
      </c>
      <c r="B137" s="1" t="s">
        <v>181</v>
      </c>
      <c r="C137" s="1" t="s">
        <v>181</v>
      </c>
      <c r="D137" s="1"/>
      <c r="E137" s="38" t="s">
        <v>37</v>
      </c>
      <c r="F137" s="38">
        <v>350</v>
      </c>
      <c r="G137" s="38" t="s">
        <v>171</v>
      </c>
      <c r="H137" s="38">
        <v>136</v>
      </c>
      <c r="I137" s="38">
        <f>2681/2</f>
        <v>1340.5</v>
      </c>
      <c r="J137" s="11">
        <f t="shared" si="55"/>
        <v>2681</v>
      </c>
      <c r="K137" s="5">
        <f t="shared" si="61"/>
        <v>5632.3529411764703</v>
      </c>
      <c r="L137" s="39">
        <v>2</v>
      </c>
      <c r="M137" s="37">
        <f t="shared" si="59"/>
        <v>2</v>
      </c>
      <c r="N137" s="38"/>
      <c r="O137" s="46"/>
      <c r="P137" s="42">
        <f t="shared" si="54"/>
        <v>2681</v>
      </c>
      <c r="Q137" s="38"/>
      <c r="R137" s="38"/>
      <c r="S137" s="38"/>
      <c r="T137" s="38"/>
      <c r="U137" s="37">
        <f t="shared" si="60"/>
        <v>2</v>
      </c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43"/>
      <c r="AH137" s="44"/>
      <c r="AI137" s="45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</row>
    <row r="138" spans="1:86">
      <c r="A138" s="33">
        <v>45483</v>
      </c>
      <c r="B138" s="1" t="s">
        <v>560</v>
      </c>
      <c r="C138" s="1" t="s">
        <v>561</v>
      </c>
      <c r="D138" s="1"/>
      <c r="E138" s="38" t="s">
        <v>41</v>
      </c>
      <c r="F138" s="38">
        <v>45</v>
      </c>
      <c r="G138" s="38" t="s">
        <v>562</v>
      </c>
      <c r="H138" s="38">
        <v>200</v>
      </c>
      <c r="I138" s="38">
        <v>1730</v>
      </c>
      <c r="J138" s="11">
        <f t="shared" si="55"/>
        <v>1730</v>
      </c>
      <c r="K138" s="5">
        <f t="shared" si="61"/>
        <v>19222.222222222219</v>
      </c>
      <c r="L138" s="39">
        <v>1</v>
      </c>
      <c r="M138" s="37">
        <f t="shared" si="59"/>
        <v>1</v>
      </c>
      <c r="N138" s="38"/>
      <c r="O138" s="46"/>
      <c r="P138" s="42">
        <f t="shared" si="54"/>
        <v>1730</v>
      </c>
      <c r="Q138" s="38"/>
      <c r="R138" s="38"/>
      <c r="S138" s="38"/>
      <c r="T138" s="38"/>
      <c r="U138" s="37">
        <f t="shared" si="60"/>
        <v>1</v>
      </c>
      <c r="V138" s="38">
        <v>4</v>
      </c>
      <c r="W138" s="38" t="s">
        <v>563</v>
      </c>
      <c r="X138" s="38"/>
      <c r="Y138" s="38"/>
      <c r="Z138" s="38"/>
      <c r="AA138" s="38"/>
      <c r="AB138" s="38"/>
      <c r="AC138" s="38"/>
      <c r="AD138" s="38"/>
      <c r="AE138" s="38"/>
      <c r="AF138" s="38"/>
      <c r="AG138" s="43"/>
      <c r="AH138" s="44"/>
      <c r="AI138" s="45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</row>
    <row r="139" spans="1:86">
      <c r="A139" s="33">
        <v>45483</v>
      </c>
      <c r="B139" s="1" t="s">
        <v>560</v>
      </c>
      <c r="C139" s="1" t="s">
        <v>561</v>
      </c>
      <c r="D139" s="1"/>
      <c r="E139" s="38" t="s">
        <v>41</v>
      </c>
      <c r="F139" s="38">
        <v>45</v>
      </c>
      <c r="G139" s="38" t="s">
        <v>562</v>
      </c>
      <c r="H139" s="38">
        <v>200</v>
      </c>
      <c r="I139" s="38">
        <v>1706</v>
      </c>
      <c r="J139" s="11">
        <f t="shared" si="55"/>
        <v>1706</v>
      </c>
      <c r="K139" s="5">
        <f t="shared" si="61"/>
        <v>18955.555555555555</v>
      </c>
      <c r="L139" s="39">
        <v>1</v>
      </c>
      <c r="M139" s="37">
        <f t="shared" si="59"/>
        <v>1</v>
      </c>
      <c r="N139" s="38"/>
      <c r="O139" s="46"/>
      <c r="P139" s="42">
        <f t="shared" si="54"/>
        <v>1706</v>
      </c>
      <c r="Q139" s="38"/>
      <c r="R139" s="38"/>
      <c r="S139" s="38"/>
      <c r="T139" s="38"/>
      <c r="U139" s="37">
        <f t="shared" si="60"/>
        <v>1</v>
      </c>
      <c r="V139" s="38">
        <v>4</v>
      </c>
      <c r="W139" s="38" t="s">
        <v>563</v>
      </c>
      <c r="X139" s="38"/>
      <c r="Y139" s="38"/>
      <c r="Z139" s="38"/>
      <c r="AA139" s="38"/>
      <c r="AB139" s="38"/>
      <c r="AC139" s="38"/>
      <c r="AD139" s="38"/>
      <c r="AE139" s="38"/>
      <c r="AF139" s="38"/>
      <c r="AG139" s="43"/>
      <c r="AH139" s="44"/>
      <c r="AI139" s="45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</row>
    <row r="140" spans="1:86">
      <c r="A140" s="33">
        <v>45484</v>
      </c>
      <c r="B140" s="1" t="s">
        <v>560</v>
      </c>
      <c r="C140" s="1" t="s">
        <v>561</v>
      </c>
      <c r="D140" s="1"/>
      <c r="E140" s="38" t="s">
        <v>41</v>
      </c>
      <c r="F140" s="38">
        <v>45</v>
      </c>
      <c r="G140" s="38" t="s">
        <v>562</v>
      </c>
      <c r="H140" s="38">
        <v>200</v>
      </c>
      <c r="I140" s="38">
        <v>1130</v>
      </c>
      <c r="J140" s="11">
        <f t="shared" si="55"/>
        <v>1130</v>
      </c>
      <c r="K140" s="5">
        <f t="shared" si="61"/>
        <v>12555.555555555555</v>
      </c>
      <c r="L140" s="39">
        <v>1</v>
      </c>
      <c r="M140" s="37">
        <f t="shared" si="59"/>
        <v>1</v>
      </c>
      <c r="N140" s="38"/>
      <c r="O140" s="46"/>
      <c r="P140" s="42">
        <f t="shared" si="54"/>
        <v>1130</v>
      </c>
      <c r="Q140" s="38"/>
      <c r="R140" s="38"/>
      <c r="S140" s="38"/>
      <c r="T140" s="38"/>
      <c r="U140" s="37">
        <f t="shared" si="60"/>
        <v>1</v>
      </c>
      <c r="V140" s="38">
        <v>4</v>
      </c>
      <c r="W140" s="38" t="s">
        <v>563</v>
      </c>
      <c r="X140" s="38"/>
      <c r="Y140" s="38"/>
      <c r="Z140" s="38"/>
      <c r="AA140" s="38"/>
      <c r="AB140" s="38"/>
      <c r="AC140" s="38"/>
      <c r="AD140" s="38"/>
      <c r="AE140" s="38"/>
      <c r="AF140" s="38"/>
      <c r="AG140" s="43"/>
      <c r="AH140" s="44"/>
      <c r="AI140" s="45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</row>
    <row r="141" spans="1:86">
      <c r="A141" s="33">
        <v>45484</v>
      </c>
      <c r="B141" s="1" t="s">
        <v>560</v>
      </c>
      <c r="C141" s="1" t="s">
        <v>561</v>
      </c>
      <c r="D141" s="1"/>
      <c r="E141" s="38" t="s">
        <v>41</v>
      </c>
      <c r="F141" s="38">
        <v>45</v>
      </c>
      <c r="G141" s="38" t="s">
        <v>562</v>
      </c>
      <c r="H141" s="38">
        <v>200</v>
      </c>
      <c r="I141" s="38">
        <v>1126</v>
      </c>
      <c r="J141" s="11">
        <f t="shared" si="55"/>
        <v>1126</v>
      </c>
      <c r="K141" s="5">
        <f t="shared" si="61"/>
        <v>12511.111111111109</v>
      </c>
      <c r="L141" s="39">
        <v>1</v>
      </c>
      <c r="M141" s="37">
        <f t="shared" si="59"/>
        <v>1</v>
      </c>
      <c r="N141" s="38"/>
      <c r="O141" s="46"/>
      <c r="P141" s="42">
        <f t="shared" si="54"/>
        <v>1126</v>
      </c>
      <c r="Q141" s="38"/>
      <c r="R141" s="38"/>
      <c r="S141" s="38"/>
      <c r="T141" s="38"/>
      <c r="U141" s="37">
        <f t="shared" si="60"/>
        <v>1</v>
      </c>
      <c r="V141" s="38">
        <v>4</v>
      </c>
      <c r="W141" s="38" t="s">
        <v>563</v>
      </c>
      <c r="X141" s="38"/>
      <c r="Y141" s="38"/>
      <c r="Z141" s="38"/>
      <c r="AA141" s="38"/>
      <c r="AB141" s="38"/>
      <c r="AC141" s="38"/>
      <c r="AD141" s="38"/>
      <c r="AE141" s="38"/>
      <c r="AF141" s="38"/>
      <c r="AG141" s="43"/>
      <c r="AH141" s="44"/>
      <c r="AI141" s="45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</row>
    <row r="142" spans="1:86">
      <c r="A142" s="33">
        <v>45483</v>
      </c>
      <c r="B142" s="1" t="s">
        <v>564</v>
      </c>
      <c r="C142" s="1" t="s">
        <v>565</v>
      </c>
      <c r="D142" s="1"/>
      <c r="E142" s="38" t="s">
        <v>41</v>
      </c>
      <c r="F142" s="38">
        <v>45</v>
      </c>
      <c r="G142" s="38" t="s">
        <v>562</v>
      </c>
      <c r="H142" s="38">
        <v>175</v>
      </c>
      <c r="I142" s="38">
        <v>933</v>
      </c>
      <c r="J142" s="11">
        <f t="shared" si="55"/>
        <v>933</v>
      </c>
      <c r="K142" s="5">
        <f t="shared" si="61"/>
        <v>11847.619047619048</v>
      </c>
      <c r="L142" s="39">
        <v>1</v>
      </c>
      <c r="M142" s="37">
        <f t="shared" si="59"/>
        <v>1</v>
      </c>
      <c r="N142" s="38"/>
      <c r="O142" s="46"/>
      <c r="P142" s="42">
        <f t="shared" si="54"/>
        <v>933</v>
      </c>
      <c r="Q142" s="38"/>
      <c r="R142" s="38"/>
      <c r="S142" s="38"/>
      <c r="T142" s="38"/>
      <c r="U142" s="37">
        <f t="shared" si="60"/>
        <v>1</v>
      </c>
      <c r="V142" s="38">
        <v>4</v>
      </c>
      <c r="W142" s="38" t="s">
        <v>563</v>
      </c>
      <c r="X142" s="38"/>
      <c r="Y142" s="38"/>
      <c r="Z142" s="38"/>
      <c r="AA142" s="38"/>
      <c r="AB142" s="38"/>
      <c r="AC142" s="38"/>
      <c r="AD142" s="38"/>
      <c r="AE142" s="38"/>
      <c r="AF142" s="38"/>
      <c r="AG142" s="43"/>
      <c r="AH142" s="44"/>
      <c r="AI142" s="45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</row>
    <row r="143" spans="1:86">
      <c r="A143" s="33">
        <v>45483</v>
      </c>
      <c r="B143" s="1"/>
      <c r="C143" s="1"/>
      <c r="D143" s="1"/>
      <c r="E143" s="38" t="s">
        <v>41</v>
      </c>
      <c r="F143" s="38">
        <v>40</v>
      </c>
      <c r="G143" s="38" t="s">
        <v>562</v>
      </c>
      <c r="H143" s="38">
        <v>144</v>
      </c>
      <c r="I143" s="38">
        <v>1000</v>
      </c>
      <c r="J143" s="11">
        <f t="shared" si="55"/>
        <v>1000</v>
      </c>
      <c r="K143" s="5">
        <f t="shared" si="61"/>
        <v>17361.111111111109</v>
      </c>
      <c r="L143" s="39">
        <v>1</v>
      </c>
      <c r="M143" s="37">
        <f t="shared" si="59"/>
        <v>1</v>
      </c>
      <c r="N143" s="38"/>
      <c r="O143" s="46"/>
      <c r="P143" s="42">
        <f t="shared" si="54"/>
        <v>1000</v>
      </c>
      <c r="Q143" s="38"/>
      <c r="R143" s="38"/>
      <c r="S143" s="38"/>
      <c r="T143" s="38"/>
      <c r="U143" s="37">
        <f t="shared" si="60"/>
        <v>1</v>
      </c>
      <c r="V143" s="38">
        <v>4</v>
      </c>
      <c r="W143" s="38" t="s">
        <v>563</v>
      </c>
      <c r="X143" s="38"/>
      <c r="Y143" s="38"/>
      <c r="Z143" s="38"/>
      <c r="AA143" s="38"/>
      <c r="AB143" s="38"/>
      <c r="AC143" s="38"/>
      <c r="AD143" s="38"/>
      <c r="AE143" s="38"/>
      <c r="AF143" s="38"/>
      <c r="AG143" s="43"/>
      <c r="AH143" s="44"/>
      <c r="AI143" s="45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</row>
    <row r="144" spans="1:86" ht="28.8">
      <c r="A144" s="33">
        <v>45552</v>
      </c>
      <c r="B144" s="1" t="s">
        <v>566</v>
      </c>
      <c r="C144" s="1" t="s">
        <v>566</v>
      </c>
      <c r="D144" s="1"/>
      <c r="E144" s="38" t="s">
        <v>41</v>
      </c>
      <c r="F144" s="38">
        <v>65</v>
      </c>
      <c r="G144" s="38" t="s">
        <v>562</v>
      </c>
      <c r="H144" s="38">
        <v>51.5</v>
      </c>
      <c r="I144" s="38">
        <v>331</v>
      </c>
      <c r="J144" s="11">
        <f t="shared" si="55"/>
        <v>331</v>
      </c>
      <c r="K144" s="5">
        <f t="shared" si="61"/>
        <v>9887.9761015683325</v>
      </c>
      <c r="L144" s="39">
        <v>1</v>
      </c>
      <c r="M144" s="37">
        <f t="shared" si="59"/>
        <v>1</v>
      </c>
      <c r="N144" s="38"/>
      <c r="O144" s="46"/>
      <c r="P144" s="42">
        <f t="shared" si="54"/>
        <v>331</v>
      </c>
      <c r="Q144" s="38" t="s">
        <v>567</v>
      </c>
      <c r="R144" s="38"/>
      <c r="S144" s="38"/>
      <c r="T144" s="38"/>
      <c r="U144" s="37">
        <f t="shared" si="60"/>
        <v>1</v>
      </c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43"/>
      <c r="AH144" s="44"/>
      <c r="AI144" s="45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</row>
    <row r="145" spans="1:86" ht="28.8">
      <c r="A145" s="33">
        <v>45552</v>
      </c>
      <c r="B145" s="1" t="s">
        <v>566</v>
      </c>
      <c r="C145" s="1" t="s">
        <v>566</v>
      </c>
      <c r="D145" s="1"/>
      <c r="E145" s="38" t="s">
        <v>41</v>
      </c>
      <c r="F145" s="38">
        <v>65</v>
      </c>
      <c r="G145" s="38" t="s">
        <v>562</v>
      </c>
      <c r="H145" s="38">
        <v>51.5</v>
      </c>
      <c r="I145" s="38">
        <v>392</v>
      </c>
      <c r="J145" s="11">
        <f t="shared" si="55"/>
        <v>392</v>
      </c>
      <c r="K145" s="5">
        <f t="shared" si="61"/>
        <v>11710.231516056758</v>
      </c>
      <c r="L145" s="39">
        <v>1</v>
      </c>
      <c r="M145" s="37">
        <f t="shared" si="59"/>
        <v>1</v>
      </c>
      <c r="N145" s="38"/>
      <c r="O145" s="46"/>
      <c r="P145" s="42">
        <f t="shared" si="54"/>
        <v>392</v>
      </c>
      <c r="Q145" s="38" t="s">
        <v>567</v>
      </c>
      <c r="R145" s="38"/>
      <c r="S145" s="38"/>
      <c r="T145" s="38"/>
      <c r="U145" s="37">
        <f t="shared" si="60"/>
        <v>1</v>
      </c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43"/>
      <c r="AH145" s="44"/>
      <c r="AI145" s="45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</row>
    <row r="146" spans="1:86" ht="28.8">
      <c r="A146" s="33">
        <v>45628</v>
      </c>
      <c r="B146" s="1" t="s">
        <v>568</v>
      </c>
      <c r="C146" s="1" t="s">
        <v>568</v>
      </c>
      <c r="D146" s="1"/>
      <c r="E146" s="38" t="s">
        <v>41</v>
      </c>
      <c r="F146" s="38">
        <v>50</v>
      </c>
      <c r="G146" s="38" t="s">
        <v>562</v>
      </c>
      <c r="H146" s="38">
        <v>100</v>
      </c>
      <c r="I146" s="38">
        <v>581</v>
      </c>
      <c r="J146" s="11">
        <f t="shared" si="55"/>
        <v>581</v>
      </c>
      <c r="K146" s="5">
        <f t="shared" si="61"/>
        <v>11620</v>
      </c>
      <c r="L146" s="39">
        <v>1</v>
      </c>
      <c r="M146" s="37">
        <f t="shared" si="59"/>
        <v>1</v>
      </c>
      <c r="N146" s="38"/>
      <c r="O146" s="46"/>
      <c r="P146" s="42">
        <f t="shared" si="54"/>
        <v>581</v>
      </c>
      <c r="Q146" s="38" t="s">
        <v>569</v>
      </c>
      <c r="R146" s="38"/>
      <c r="S146" s="38"/>
      <c r="T146" s="38" t="s">
        <v>570</v>
      </c>
      <c r="U146" s="37">
        <f t="shared" si="60"/>
        <v>1</v>
      </c>
      <c r="V146" s="38">
        <v>4</v>
      </c>
      <c r="W146" s="38" t="s">
        <v>571</v>
      </c>
      <c r="X146" s="38"/>
      <c r="Y146" s="38"/>
      <c r="Z146" s="38"/>
      <c r="AA146" s="38"/>
      <c r="AB146" s="38"/>
      <c r="AC146" s="38"/>
      <c r="AD146" s="38"/>
      <c r="AE146" s="38"/>
      <c r="AF146" s="38"/>
      <c r="AG146" s="43"/>
      <c r="AH146" s="44"/>
      <c r="AI146" s="45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</row>
    <row r="147" spans="1:86">
      <c r="A147" s="33">
        <v>45751</v>
      </c>
      <c r="B147" s="1" t="s">
        <v>572</v>
      </c>
      <c r="C147" s="1" t="s">
        <v>572</v>
      </c>
      <c r="D147" s="1">
        <f>4197+230</f>
        <v>4427</v>
      </c>
      <c r="E147" s="38" t="s">
        <v>41</v>
      </c>
      <c r="F147" s="38">
        <v>50</v>
      </c>
      <c r="G147" s="38" t="s">
        <v>562</v>
      </c>
      <c r="H147" s="38">
        <v>106</v>
      </c>
      <c r="I147" s="38">
        <v>599</v>
      </c>
      <c r="J147" s="11">
        <f t="shared" si="55"/>
        <v>1797</v>
      </c>
      <c r="K147" s="5">
        <f t="shared" si="61"/>
        <v>33905.660377358487</v>
      </c>
      <c r="L147" s="39">
        <v>3</v>
      </c>
      <c r="M147" s="37">
        <f t="shared" si="59"/>
        <v>3</v>
      </c>
      <c r="N147" s="38"/>
      <c r="O147" s="46"/>
      <c r="P147" s="42">
        <f t="shared" si="54"/>
        <v>1797</v>
      </c>
      <c r="Q147" s="38" t="s">
        <v>573</v>
      </c>
      <c r="R147" s="38"/>
      <c r="S147" s="38"/>
      <c r="T147" s="38"/>
      <c r="U147" s="37">
        <f t="shared" si="60"/>
        <v>3</v>
      </c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43"/>
      <c r="AH147" s="44"/>
      <c r="AI147" s="45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</row>
    <row r="148" spans="1:86">
      <c r="A148" s="33">
        <v>45481</v>
      </c>
      <c r="B148" s="1" t="s">
        <v>574</v>
      </c>
      <c r="C148" s="1" t="s">
        <v>574</v>
      </c>
      <c r="D148" s="1"/>
      <c r="E148" s="38" t="s">
        <v>41</v>
      </c>
      <c r="F148" s="38">
        <v>45</v>
      </c>
      <c r="G148" s="38" t="s">
        <v>575</v>
      </c>
      <c r="H148" s="38">
        <v>150</v>
      </c>
      <c r="I148" s="38">
        <v>840</v>
      </c>
      <c r="J148" s="11">
        <f t="shared" si="55"/>
        <v>840</v>
      </c>
      <c r="K148" s="5">
        <f t="shared" si="61"/>
        <v>12444.444444444443</v>
      </c>
      <c r="L148" s="39">
        <v>1</v>
      </c>
      <c r="M148" s="37">
        <f t="shared" si="59"/>
        <v>1</v>
      </c>
      <c r="N148" s="38"/>
      <c r="O148" s="46"/>
      <c r="P148" s="42">
        <f t="shared" si="54"/>
        <v>840</v>
      </c>
      <c r="Q148" s="38" t="s">
        <v>546</v>
      </c>
      <c r="R148" s="38"/>
      <c r="S148" s="38"/>
      <c r="T148" s="38"/>
      <c r="U148" s="37">
        <f t="shared" si="60"/>
        <v>1</v>
      </c>
      <c r="V148" s="38">
        <v>4</v>
      </c>
      <c r="W148" s="38" t="s">
        <v>576</v>
      </c>
      <c r="X148" s="38"/>
      <c r="Y148" s="38"/>
      <c r="Z148" s="38"/>
      <c r="AA148" s="38"/>
      <c r="AB148" s="38"/>
      <c r="AC148" s="38"/>
      <c r="AD148" s="38"/>
      <c r="AE148" s="38"/>
      <c r="AF148" s="38"/>
      <c r="AG148" s="43"/>
      <c r="AH148" s="44"/>
      <c r="AI148" s="45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</row>
    <row r="149" spans="1:86">
      <c r="A149" s="33">
        <v>45499</v>
      </c>
      <c r="B149" s="1" t="s">
        <v>577</v>
      </c>
      <c r="C149" s="1" t="s">
        <v>578</v>
      </c>
      <c r="D149" s="1"/>
      <c r="E149" s="38" t="s">
        <v>41</v>
      </c>
      <c r="F149" s="38">
        <v>50</v>
      </c>
      <c r="G149" s="38" t="s">
        <v>84</v>
      </c>
      <c r="H149" s="38">
        <v>43.5</v>
      </c>
      <c r="I149" s="38">
        <v>237</v>
      </c>
      <c r="J149" s="11">
        <f t="shared" si="55"/>
        <v>237</v>
      </c>
      <c r="K149" s="5">
        <f t="shared" ref="K149:K156" si="62">+J149/(F149*H149*10^-5)</f>
        <v>10896.551724137929</v>
      </c>
      <c r="L149" s="39">
        <v>1</v>
      </c>
      <c r="M149" s="37">
        <f t="shared" ref="M149:M183" si="63">+L149-X149-Z149-AD149-AB149-AF149-AH149-AJ149-AL149-AO149-AQ149-AS149-AU149-AW149-AY149-BA149-BC149-BE149-BG149-BI149-BK149-BM149-BO149-BQ149-BS149-BU149-BW149-BY149-CA149-CC149-CE149-CG149</f>
        <v>1</v>
      </c>
      <c r="N149" s="38"/>
      <c r="O149" s="46">
        <f t="shared" ref="O149:O161" si="64">J149</f>
        <v>237</v>
      </c>
      <c r="P149" s="42">
        <f t="shared" si="54"/>
        <v>0</v>
      </c>
      <c r="Q149" s="38"/>
      <c r="R149" s="38"/>
      <c r="S149" s="38"/>
      <c r="T149" s="38" t="s">
        <v>579</v>
      </c>
      <c r="U149" s="37">
        <f t="shared" si="60"/>
        <v>1</v>
      </c>
      <c r="V149" s="38">
        <v>4</v>
      </c>
      <c r="W149" s="38" t="s">
        <v>580</v>
      </c>
      <c r="X149" s="38"/>
      <c r="Y149" s="38"/>
      <c r="Z149" s="38"/>
      <c r="AA149" s="38"/>
      <c r="AB149" s="38"/>
      <c r="AC149" s="38"/>
      <c r="AD149" s="38"/>
      <c r="AE149" s="38"/>
      <c r="AF149" s="38"/>
      <c r="AG149" s="43"/>
      <c r="AH149" s="44"/>
      <c r="AI149" s="45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</row>
    <row r="150" spans="1:86">
      <c r="A150" s="33">
        <v>45499</v>
      </c>
      <c r="B150" s="1" t="s">
        <v>577</v>
      </c>
      <c r="C150" s="1" t="s">
        <v>578</v>
      </c>
      <c r="D150" s="1"/>
      <c r="E150" s="38" t="s">
        <v>41</v>
      </c>
      <c r="F150" s="38">
        <v>50</v>
      </c>
      <c r="G150" s="38" t="s">
        <v>84</v>
      </c>
      <c r="H150" s="38">
        <v>43.5</v>
      </c>
      <c r="I150" s="38">
        <v>250</v>
      </c>
      <c r="J150" s="11">
        <f t="shared" si="55"/>
        <v>250</v>
      </c>
      <c r="K150" s="5">
        <f t="shared" si="62"/>
        <v>11494.252873563217</v>
      </c>
      <c r="L150" s="39">
        <v>1</v>
      </c>
      <c r="M150" s="37">
        <f t="shared" si="63"/>
        <v>1</v>
      </c>
      <c r="N150" s="38"/>
      <c r="O150" s="46">
        <f t="shared" si="64"/>
        <v>250</v>
      </c>
      <c r="P150" s="42">
        <f t="shared" si="54"/>
        <v>0</v>
      </c>
      <c r="Q150" s="38"/>
      <c r="R150" s="38"/>
      <c r="S150" s="38"/>
      <c r="T150" s="38" t="s">
        <v>579</v>
      </c>
      <c r="U150" s="37">
        <f t="shared" si="60"/>
        <v>1</v>
      </c>
      <c r="V150" s="38">
        <v>4</v>
      </c>
      <c r="W150" s="38" t="s">
        <v>580</v>
      </c>
      <c r="X150" s="38"/>
      <c r="Y150" s="38"/>
      <c r="Z150" s="38"/>
      <c r="AA150" s="38"/>
      <c r="AB150" s="38"/>
      <c r="AC150" s="38"/>
      <c r="AD150" s="38"/>
      <c r="AE150" s="38"/>
      <c r="AF150" s="38"/>
      <c r="AG150" s="43"/>
      <c r="AH150" s="44"/>
      <c r="AI150" s="45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</row>
    <row r="151" spans="1:86">
      <c r="A151" s="33">
        <v>45499</v>
      </c>
      <c r="B151" s="1" t="s">
        <v>577</v>
      </c>
      <c r="C151" s="1" t="s">
        <v>578</v>
      </c>
      <c r="D151" s="1"/>
      <c r="E151" s="38" t="s">
        <v>41</v>
      </c>
      <c r="F151" s="38">
        <v>50</v>
      </c>
      <c r="G151" s="38" t="s">
        <v>84</v>
      </c>
      <c r="H151" s="38">
        <v>43.5</v>
      </c>
      <c r="I151" s="38">
        <v>237</v>
      </c>
      <c r="J151" s="11">
        <f t="shared" si="55"/>
        <v>237</v>
      </c>
      <c r="K151" s="5">
        <f t="shared" si="62"/>
        <v>10896.551724137929</v>
      </c>
      <c r="L151" s="39">
        <v>1</v>
      </c>
      <c r="M151" s="37">
        <f t="shared" si="63"/>
        <v>1</v>
      </c>
      <c r="N151" s="38"/>
      <c r="O151" s="46">
        <f t="shared" si="64"/>
        <v>237</v>
      </c>
      <c r="P151" s="42">
        <f t="shared" si="54"/>
        <v>0</v>
      </c>
      <c r="Q151" s="38"/>
      <c r="R151" s="38"/>
      <c r="S151" s="38"/>
      <c r="T151" s="38" t="s">
        <v>579</v>
      </c>
      <c r="U151" s="37">
        <f t="shared" si="60"/>
        <v>1</v>
      </c>
      <c r="V151" s="38">
        <v>4</v>
      </c>
      <c r="W151" s="38" t="s">
        <v>580</v>
      </c>
      <c r="X151" s="38"/>
      <c r="Y151" s="38"/>
      <c r="Z151" s="38"/>
      <c r="AA151" s="38"/>
      <c r="AB151" s="38"/>
      <c r="AC151" s="38"/>
      <c r="AD151" s="38"/>
      <c r="AE151" s="38"/>
      <c r="AF151" s="38"/>
      <c r="AG151" s="43"/>
      <c r="AH151" s="44"/>
      <c r="AI151" s="45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</row>
    <row r="152" spans="1:86">
      <c r="A152" s="33">
        <v>45499</v>
      </c>
      <c r="B152" s="1" t="s">
        <v>577</v>
      </c>
      <c r="C152" s="1" t="s">
        <v>578</v>
      </c>
      <c r="D152" s="1"/>
      <c r="E152" s="38" t="s">
        <v>41</v>
      </c>
      <c r="F152" s="38">
        <v>50</v>
      </c>
      <c r="G152" s="38" t="s">
        <v>84</v>
      </c>
      <c r="H152" s="38">
        <v>43.5</v>
      </c>
      <c r="I152" s="38">
        <v>237</v>
      </c>
      <c r="J152" s="11">
        <f t="shared" si="55"/>
        <v>237</v>
      </c>
      <c r="K152" s="5">
        <f t="shared" si="62"/>
        <v>10896.551724137929</v>
      </c>
      <c r="L152" s="39">
        <v>1</v>
      </c>
      <c r="M152" s="37">
        <f t="shared" si="63"/>
        <v>1</v>
      </c>
      <c r="N152" s="38"/>
      <c r="O152" s="46">
        <f t="shared" si="64"/>
        <v>237</v>
      </c>
      <c r="P152" s="42">
        <f t="shared" si="54"/>
        <v>0</v>
      </c>
      <c r="Q152" s="38"/>
      <c r="R152" s="38"/>
      <c r="S152" s="38"/>
      <c r="T152" s="38" t="s">
        <v>579</v>
      </c>
      <c r="U152" s="37">
        <f t="shared" si="60"/>
        <v>1</v>
      </c>
      <c r="V152" s="38">
        <v>4</v>
      </c>
      <c r="W152" s="38" t="s">
        <v>580</v>
      </c>
      <c r="X152" s="38"/>
      <c r="Y152" s="38"/>
      <c r="Z152" s="38"/>
      <c r="AA152" s="38"/>
      <c r="AB152" s="38"/>
      <c r="AC152" s="38"/>
      <c r="AD152" s="38"/>
      <c r="AE152" s="38"/>
      <c r="AF152" s="38"/>
      <c r="AG152" s="43"/>
      <c r="AH152" s="44"/>
      <c r="AI152" s="45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</row>
    <row r="153" spans="1:86">
      <c r="A153" s="33">
        <v>45499</v>
      </c>
      <c r="B153" s="1" t="s">
        <v>581</v>
      </c>
      <c r="C153" s="1" t="s">
        <v>581</v>
      </c>
      <c r="D153" s="1"/>
      <c r="E153" s="38" t="s">
        <v>41</v>
      </c>
      <c r="F153" s="38">
        <v>70</v>
      </c>
      <c r="G153" s="38" t="s">
        <v>305</v>
      </c>
      <c r="H153" s="38">
        <v>46</v>
      </c>
      <c r="I153" s="38">
        <v>301</v>
      </c>
      <c r="J153" s="11">
        <f t="shared" si="55"/>
        <v>301</v>
      </c>
      <c r="K153" s="5">
        <f t="shared" si="62"/>
        <v>9347.826086956522</v>
      </c>
      <c r="L153" s="39">
        <v>1</v>
      </c>
      <c r="M153" s="37">
        <f t="shared" si="63"/>
        <v>1</v>
      </c>
      <c r="N153" s="38"/>
      <c r="O153" s="46"/>
      <c r="P153" s="42">
        <f t="shared" si="54"/>
        <v>301</v>
      </c>
      <c r="Q153" s="38"/>
      <c r="R153" s="38"/>
      <c r="S153" s="38"/>
      <c r="T153" s="38" t="s">
        <v>579</v>
      </c>
      <c r="U153" s="37">
        <f t="shared" ref="U153:U191" si="65">+L153-X153-Z153-AD153-AB153-AF153-AH153-AJ153-AL153-AO153-AQ153-AS153-AU153-AW153-AY153-BA153-BC153-BE153-BG153-BI153-BK153-BM153-BO153-BQ153-BS153-BU153-BW153-BY153-CA153-CC153-CE153-CG153</f>
        <v>1</v>
      </c>
      <c r="V153" s="38">
        <v>4</v>
      </c>
      <c r="W153" s="38" t="s">
        <v>582</v>
      </c>
      <c r="X153" s="38"/>
      <c r="Y153" s="38"/>
      <c r="Z153" s="38"/>
      <c r="AA153" s="38"/>
      <c r="AB153" s="38"/>
      <c r="AC153" s="38"/>
      <c r="AD153" s="38"/>
      <c r="AE153" s="38"/>
      <c r="AF153" s="38"/>
      <c r="AG153" s="43"/>
      <c r="AH153" s="44"/>
      <c r="AI153" s="45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</row>
    <row r="154" spans="1:86">
      <c r="A154" s="33">
        <v>45499</v>
      </c>
      <c r="B154" s="1" t="s">
        <v>581</v>
      </c>
      <c r="C154" s="1" t="s">
        <v>581</v>
      </c>
      <c r="D154" s="1"/>
      <c r="E154" s="38" t="s">
        <v>41</v>
      </c>
      <c r="F154" s="38">
        <v>70</v>
      </c>
      <c r="G154" s="38" t="s">
        <v>305</v>
      </c>
      <c r="H154" s="38">
        <v>46</v>
      </c>
      <c r="I154" s="38">
        <v>302</v>
      </c>
      <c r="J154" s="11">
        <f t="shared" si="55"/>
        <v>302</v>
      </c>
      <c r="K154" s="5">
        <f t="shared" si="62"/>
        <v>9378.8819875776408</v>
      </c>
      <c r="L154" s="39">
        <v>1</v>
      </c>
      <c r="M154" s="37">
        <f t="shared" si="63"/>
        <v>1</v>
      </c>
      <c r="N154" s="38"/>
      <c r="O154" s="46"/>
      <c r="P154" s="42">
        <f t="shared" si="54"/>
        <v>302</v>
      </c>
      <c r="Q154" s="38"/>
      <c r="R154" s="38"/>
      <c r="S154" s="38"/>
      <c r="T154" s="38" t="s">
        <v>579</v>
      </c>
      <c r="U154" s="37">
        <f t="shared" si="65"/>
        <v>1</v>
      </c>
      <c r="V154" s="38">
        <v>4</v>
      </c>
      <c r="W154" s="38" t="s">
        <v>582</v>
      </c>
      <c r="X154" s="38"/>
      <c r="Y154" s="38"/>
      <c r="Z154" s="38"/>
      <c r="AA154" s="38"/>
      <c r="AB154" s="38"/>
      <c r="AC154" s="38"/>
      <c r="AD154" s="38"/>
      <c r="AE154" s="38"/>
      <c r="AF154" s="38"/>
      <c r="AG154" s="43"/>
      <c r="AH154" s="44"/>
      <c r="AI154" s="45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</row>
    <row r="155" spans="1:86">
      <c r="A155" s="33">
        <v>45499</v>
      </c>
      <c r="B155" s="1" t="s">
        <v>581</v>
      </c>
      <c r="C155" s="1" t="s">
        <v>581</v>
      </c>
      <c r="D155" s="1"/>
      <c r="E155" s="38" t="s">
        <v>41</v>
      </c>
      <c r="F155" s="38">
        <v>70</v>
      </c>
      <c r="G155" s="38" t="s">
        <v>305</v>
      </c>
      <c r="H155" s="38">
        <v>46</v>
      </c>
      <c r="I155" s="38">
        <v>282</v>
      </c>
      <c r="J155" s="11">
        <f t="shared" si="55"/>
        <v>282</v>
      </c>
      <c r="K155" s="5">
        <f t="shared" si="62"/>
        <v>8757.7639751552797</v>
      </c>
      <c r="L155" s="39">
        <v>1</v>
      </c>
      <c r="M155" s="37">
        <f t="shared" si="63"/>
        <v>1</v>
      </c>
      <c r="N155" s="38"/>
      <c r="O155" s="46"/>
      <c r="P155" s="42">
        <f t="shared" si="54"/>
        <v>282</v>
      </c>
      <c r="Q155" s="38"/>
      <c r="R155" s="38"/>
      <c r="S155" s="38"/>
      <c r="T155" s="38" t="s">
        <v>579</v>
      </c>
      <c r="U155" s="37">
        <f t="shared" si="65"/>
        <v>1</v>
      </c>
      <c r="V155" s="38">
        <v>4</v>
      </c>
      <c r="W155" s="38" t="s">
        <v>582</v>
      </c>
      <c r="X155" s="38"/>
      <c r="Y155" s="38"/>
      <c r="Z155" s="38"/>
      <c r="AA155" s="38"/>
      <c r="AB155" s="38"/>
      <c r="AC155" s="38"/>
      <c r="AD155" s="38"/>
      <c r="AE155" s="38"/>
      <c r="AF155" s="38"/>
      <c r="AG155" s="43"/>
      <c r="AH155" s="44"/>
      <c r="AI155" s="45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</row>
    <row r="156" spans="1:86">
      <c r="A156" s="33">
        <v>45499</v>
      </c>
      <c r="B156" s="1" t="s">
        <v>581</v>
      </c>
      <c r="C156" s="1" t="s">
        <v>581</v>
      </c>
      <c r="D156" s="1"/>
      <c r="E156" s="38" t="s">
        <v>41</v>
      </c>
      <c r="F156" s="38">
        <v>70</v>
      </c>
      <c r="G156" s="38" t="s">
        <v>305</v>
      </c>
      <c r="H156" s="38">
        <v>46</v>
      </c>
      <c r="I156" s="38">
        <v>286</v>
      </c>
      <c r="J156" s="11">
        <f t="shared" si="55"/>
        <v>286</v>
      </c>
      <c r="K156" s="5">
        <f t="shared" si="62"/>
        <v>8881.9875776397512</v>
      </c>
      <c r="L156" s="39">
        <v>1</v>
      </c>
      <c r="M156" s="37">
        <f t="shared" si="63"/>
        <v>1</v>
      </c>
      <c r="N156" s="38"/>
      <c r="O156" s="46"/>
      <c r="P156" s="42">
        <f t="shared" ref="P156:P194" si="66">+J156-O156</f>
        <v>286</v>
      </c>
      <c r="Q156" s="38"/>
      <c r="R156" s="38"/>
      <c r="S156" s="38"/>
      <c r="T156" s="38" t="s">
        <v>579</v>
      </c>
      <c r="U156" s="37">
        <f t="shared" si="65"/>
        <v>1</v>
      </c>
      <c r="V156" s="38">
        <v>4</v>
      </c>
      <c r="W156" s="38" t="s">
        <v>582</v>
      </c>
      <c r="X156" s="38"/>
      <c r="Y156" s="38"/>
      <c r="Z156" s="38"/>
      <c r="AA156" s="38"/>
      <c r="AB156" s="38"/>
      <c r="AC156" s="38"/>
      <c r="AD156" s="38"/>
      <c r="AE156" s="38"/>
      <c r="AF156" s="38"/>
      <c r="AG156" s="43"/>
      <c r="AH156" s="44"/>
      <c r="AI156" s="45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</row>
    <row r="157" spans="1:86">
      <c r="A157" s="33">
        <v>45499</v>
      </c>
      <c r="B157" s="1" t="s">
        <v>581</v>
      </c>
      <c r="C157" s="1" t="s">
        <v>581</v>
      </c>
      <c r="D157" s="1"/>
      <c r="E157" s="38" t="s">
        <v>41</v>
      </c>
      <c r="F157" s="38">
        <v>70</v>
      </c>
      <c r="G157" s="38" t="s">
        <v>305</v>
      </c>
      <c r="H157" s="38">
        <v>46</v>
      </c>
      <c r="I157" s="38">
        <v>290</v>
      </c>
      <c r="J157" s="11">
        <f t="shared" si="55"/>
        <v>290</v>
      </c>
      <c r="K157" s="5">
        <f t="shared" ref="K157:K178" si="67">+J157/(F157*H157*10^-5)</f>
        <v>9006.2111801242245</v>
      </c>
      <c r="L157" s="39">
        <v>1</v>
      </c>
      <c r="M157" s="37">
        <f t="shared" si="63"/>
        <v>1</v>
      </c>
      <c r="N157" s="38"/>
      <c r="O157" s="46"/>
      <c r="P157" s="42">
        <f t="shared" si="66"/>
        <v>290</v>
      </c>
      <c r="Q157" s="38"/>
      <c r="R157" s="38"/>
      <c r="S157" s="38"/>
      <c r="T157" s="38" t="s">
        <v>579</v>
      </c>
      <c r="U157" s="37">
        <f t="shared" si="65"/>
        <v>1</v>
      </c>
      <c r="V157" s="38">
        <v>4</v>
      </c>
      <c r="W157" s="38" t="s">
        <v>582</v>
      </c>
      <c r="X157" s="38"/>
      <c r="Y157" s="38"/>
      <c r="Z157" s="38"/>
      <c r="AA157" s="38"/>
      <c r="AB157" s="38"/>
      <c r="AC157" s="38"/>
      <c r="AD157" s="38"/>
      <c r="AE157" s="38"/>
      <c r="AF157" s="38"/>
      <c r="AG157" s="43"/>
      <c r="AH157" s="44"/>
      <c r="AI157" s="45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</row>
    <row r="158" spans="1:86">
      <c r="A158" s="33">
        <v>45499</v>
      </c>
      <c r="B158" s="1" t="s">
        <v>581</v>
      </c>
      <c r="C158" s="1" t="s">
        <v>581</v>
      </c>
      <c r="D158" s="1"/>
      <c r="E158" s="38" t="s">
        <v>41</v>
      </c>
      <c r="F158" s="38">
        <v>70</v>
      </c>
      <c r="G158" s="38" t="s">
        <v>305</v>
      </c>
      <c r="H158" s="38">
        <v>46</v>
      </c>
      <c r="I158" s="38">
        <v>306</v>
      </c>
      <c r="J158" s="11">
        <f t="shared" ref="J158:J196" si="68">IFERROR(IF(AND(V158=3,U158&gt;0),I158,I158*U158),"Verify")</f>
        <v>306</v>
      </c>
      <c r="K158" s="5">
        <f t="shared" si="67"/>
        <v>9503.1055900621122</v>
      </c>
      <c r="L158" s="39">
        <v>1</v>
      </c>
      <c r="M158" s="37">
        <f t="shared" si="63"/>
        <v>1</v>
      </c>
      <c r="N158" s="38"/>
      <c r="O158" s="46"/>
      <c r="P158" s="42">
        <f t="shared" si="66"/>
        <v>306</v>
      </c>
      <c r="Q158" s="38"/>
      <c r="R158" s="38"/>
      <c r="S158" s="38"/>
      <c r="T158" s="38" t="s">
        <v>579</v>
      </c>
      <c r="U158" s="37">
        <f t="shared" si="65"/>
        <v>1</v>
      </c>
      <c r="V158" s="38">
        <v>4</v>
      </c>
      <c r="W158" s="38" t="s">
        <v>582</v>
      </c>
      <c r="X158" s="38"/>
      <c r="Y158" s="38"/>
      <c r="Z158" s="38"/>
      <c r="AA158" s="38"/>
      <c r="AB158" s="38"/>
      <c r="AC158" s="38"/>
      <c r="AD158" s="38"/>
      <c r="AE158" s="38"/>
      <c r="AF158" s="38"/>
      <c r="AG158" s="43"/>
      <c r="AH158" s="44"/>
      <c r="AI158" s="45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</row>
    <row r="159" spans="1:86">
      <c r="A159" s="33">
        <v>45499</v>
      </c>
      <c r="B159" s="1" t="s">
        <v>577</v>
      </c>
      <c r="C159" s="1" t="s">
        <v>578</v>
      </c>
      <c r="D159" s="1"/>
      <c r="E159" s="38" t="s">
        <v>41</v>
      </c>
      <c r="F159" s="38">
        <v>50</v>
      </c>
      <c r="G159" s="38" t="s">
        <v>84</v>
      </c>
      <c r="H159" s="38">
        <v>43.5</v>
      </c>
      <c r="I159" s="38">
        <v>306</v>
      </c>
      <c r="J159" s="11">
        <f t="shared" si="68"/>
        <v>306</v>
      </c>
      <c r="K159" s="5">
        <f t="shared" si="67"/>
        <v>14068.965517241379</v>
      </c>
      <c r="L159" s="39">
        <v>1</v>
      </c>
      <c r="M159" s="37">
        <f t="shared" si="63"/>
        <v>1</v>
      </c>
      <c r="N159" s="38"/>
      <c r="O159" s="46">
        <f t="shared" si="64"/>
        <v>306</v>
      </c>
      <c r="P159" s="42">
        <f t="shared" si="66"/>
        <v>0</v>
      </c>
      <c r="Q159" s="38"/>
      <c r="R159" s="38"/>
      <c r="S159" s="38"/>
      <c r="T159" s="38" t="s">
        <v>583</v>
      </c>
      <c r="U159" s="37">
        <f t="shared" si="65"/>
        <v>1</v>
      </c>
      <c r="V159" s="38">
        <v>4</v>
      </c>
      <c r="W159" s="38" t="s">
        <v>580</v>
      </c>
      <c r="X159" s="38"/>
      <c r="Y159" s="38"/>
      <c r="Z159" s="38"/>
      <c r="AA159" s="38"/>
      <c r="AB159" s="38"/>
      <c r="AC159" s="38"/>
      <c r="AD159" s="38"/>
      <c r="AE159" s="38"/>
      <c r="AF159" s="38"/>
      <c r="AG159" s="43"/>
      <c r="AH159" s="44"/>
      <c r="AI159" s="45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</row>
    <row r="160" spans="1:86">
      <c r="A160" s="33">
        <v>45499</v>
      </c>
      <c r="B160" s="1" t="s">
        <v>577</v>
      </c>
      <c r="C160" s="1" t="s">
        <v>578</v>
      </c>
      <c r="D160" s="1"/>
      <c r="E160" s="38" t="s">
        <v>41</v>
      </c>
      <c r="F160" s="38">
        <v>50</v>
      </c>
      <c r="G160" s="38" t="s">
        <v>84</v>
      </c>
      <c r="H160" s="38">
        <v>43.5</v>
      </c>
      <c r="I160" s="38">
        <v>303</v>
      </c>
      <c r="J160" s="11">
        <f t="shared" si="68"/>
        <v>303</v>
      </c>
      <c r="K160" s="5">
        <f t="shared" si="67"/>
        <v>13931.03448275862</v>
      </c>
      <c r="L160" s="39">
        <v>1</v>
      </c>
      <c r="M160" s="37">
        <f t="shared" si="63"/>
        <v>1</v>
      </c>
      <c r="N160" s="38"/>
      <c r="O160" s="46">
        <f t="shared" si="64"/>
        <v>303</v>
      </c>
      <c r="P160" s="42">
        <f t="shared" si="66"/>
        <v>0</v>
      </c>
      <c r="Q160" s="38"/>
      <c r="R160" s="38"/>
      <c r="S160" s="38"/>
      <c r="T160" s="38" t="s">
        <v>583</v>
      </c>
      <c r="U160" s="37">
        <f t="shared" si="65"/>
        <v>1</v>
      </c>
      <c r="V160" s="38">
        <v>4</v>
      </c>
      <c r="W160" s="38" t="s">
        <v>580</v>
      </c>
      <c r="X160" s="38"/>
      <c r="Y160" s="38"/>
      <c r="Z160" s="38"/>
      <c r="AA160" s="38"/>
      <c r="AB160" s="38"/>
      <c r="AC160" s="38"/>
      <c r="AD160" s="38"/>
      <c r="AE160" s="38"/>
      <c r="AF160" s="38"/>
      <c r="AG160" s="43"/>
      <c r="AH160" s="44"/>
      <c r="AI160" s="45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</row>
    <row r="161" spans="1:86">
      <c r="A161" s="33">
        <v>45499</v>
      </c>
      <c r="B161" s="1" t="s">
        <v>577</v>
      </c>
      <c r="C161" s="1" t="s">
        <v>578</v>
      </c>
      <c r="D161" s="1"/>
      <c r="E161" s="38" t="s">
        <v>41</v>
      </c>
      <c r="F161" s="38">
        <v>50</v>
      </c>
      <c r="G161" s="38" t="s">
        <v>84</v>
      </c>
      <c r="H161" s="38">
        <v>43.5</v>
      </c>
      <c r="I161" s="38">
        <v>260</v>
      </c>
      <c r="J161" s="11">
        <f t="shared" si="68"/>
        <v>260</v>
      </c>
      <c r="K161" s="5">
        <f t="shared" si="67"/>
        <v>11954.022988505745</v>
      </c>
      <c r="L161" s="39">
        <v>1</v>
      </c>
      <c r="M161" s="37">
        <f t="shared" si="63"/>
        <v>1</v>
      </c>
      <c r="N161" s="38"/>
      <c r="O161" s="46">
        <f t="shared" si="64"/>
        <v>260</v>
      </c>
      <c r="P161" s="42">
        <f t="shared" si="66"/>
        <v>0</v>
      </c>
      <c r="Q161" s="38"/>
      <c r="R161" s="38"/>
      <c r="S161" s="38"/>
      <c r="T161" s="38" t="s">
        <v>583</v>
      </c>
      <c r="U161" s="37">
        <f t="shared" si="65"/>
        <v>1</v>
      </c>
      <c r="V161" s="38">
        <v>4</v>
      </c>
      <c r="W161" s="38" t="s">
        <v>580</v>
      </c>
      <c r="X161" s="38"/>
      <c r="Y161" s="38"/>
      <c r="Z161" s="38"/>
      <c r="AA161" s="38"/>
      <c r="AB161" s="38"/>
      <c r="AC161" s="38"/>
      <c r="AD161" s="38"/>
      <c r="AE161" s="38"/>
      <c r="AF161" s="38"/>
      <c r="AG161" s="43"/>
      <c r="AH161" s="44"/>
      <c r="AI161" s="45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</row>
    <row r="162" spans="1:86">
      <c r="A162" s="33">
        <v>45499</v>
      </c>
      <c r="B162" s="1" t="s">
        <v>577</v>
      </c>
      <c r="C162" s="1" t="s">
        <v>578</v>
      </c>
      <c r="D162" s="1"/>
      <c r="E162" s="38" t="s">
        <v>41</v>
      </c>
      <c r="F162" s="38">
        <v>50</v>
      </c>
      <c r="G162" s="38" t="s">
        <v>84</v>
      </c>
      <c r="H162" s="38">
        <v>43.5</v>
      </c>
      <c r="I162" s="38">
        <v>298</v>
      </c>
      <c r="J162" s="11">
        <f t="shared" si="68"/>
        <v>298</v>
      </c>
      <c r="K162" s="5">
        <f t="shared" si="67"/>
        <v>13701.149425287354</v>
      </c>
      <c r="L162" s="39">
        <v>1</v>
      </c>
      <c r="M162" s="37">
        <f t="shared" si="63"/>
        <v>1</v>
      </c>
      <c r="N162" s="38"/>
      <c r="O162" s="46">
        <f t="shared" ref="O162:O172" si="69">J162</f>
        <v>298</v>
      </c>
      <c r="P162" s="42">
        <f t="shared" si="66"/>
        <v>0</v>
      </c>
      <c r="Q162" s="38"/>
      <c r="R162" s="38"/>
      <c r="S162" s="38"/>
      <c r="T162" s="38" t="s">
        <v>583</v>
      </c>
      <c r="U162" s="37">
        <f t="shared" si="65"/>
        <v>1</v>
      </c>
      <c r="V162" s="38">
        <v>4</v>
      </c>
      <c r="W162" s="38" t="s">
        <v>580</v>
      </c>
      <c r="X162" s="38"/>
      <c r="Y162" s="38"/>
      <c r="Z162" s="38"/>
      <c r="AA162" s="38"/>
      <c r="AB162" s="38"/>
      <c r="AC162" s="38"/>
      <c r="AD162" s="38"/>
      <c r="AE162" s="38"/>
      <c r="AF162" s="38"/>
      <c r="AG162" s="43"/>
      <c r="AH162" s="44"/>
      <c r="AI162" s="45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</row>
    <row r="163" spans="1:86">
      <c r="A163" s="33">
        <v>45499</v>
      </c>
      <c r="B163" s="1" t="s">
        <v>577</v>
      </c>
      <c r="C163" s="1" t="s">
        <v>578</v>
      </c>
      <c r="D163" s="1"/>
      <c r="E163" s="38" t="s">
        <v>41</v>
      </c>
      <c r="F163" s="38">
        <v>50</v>
      </c>
      <c r="G163" s="38" t="s">
        <v>84</v>
      </c>
      <c r="H163" s="38">
        <v>43.5</v>
      </c>
      <c r="I163" s="38">
        <v>296</v>
      </c>
      <c r="J163" s="11">
        <f t="shared" si="68"/>
        <v>296</v>
      </c>
      <c r="K163" s="5">
        <f t="shared" si="67"/>
        <v>13609.19540229885</v>
      </c>
      <c r="L163" s="39">
        <v>1</v>
      </c>
      <c r="M163" s="37">
        <f t="shared" si="63"/>
        <v>1</v>
      </c>
      <c r="N163" s="38"/>
      <c r="O163" s="46">
        <f t="shared" si="69"/>
        <v>296</v>
      </c>
      <c r="P163" s="42">
        <f t="shared" si="66"/>
        <v>0</v>
      </c>
      <c r="Q163" s="38"/>
      <c r="R163" s="38"/>
      <c r="S163" s="38"/>
      <c r="T163" s="38" t="s">
        <v>583</v>
      </c>
      <c r="U163" s="37">
        <f t="shared" si="65"/>
        <v>1</v>
      </c>
      <c r="V163" s="38">
        <v>4</v>
      </c>
      <c r="W163" s="38" t="s">
        <v>580</v>
      </c>
      <c r="X163" s="38"/>
      <c r="Y163" s="38"/>
      <c r="Z163" s="38"/>
      <c r="AA163" s="38"/>
      <c r="AB163" s="38"/>
      <c r="AC163" s="38"/>
      <c r="AD163" s="38"/>
      <c r="AE163" s="38"/>
      <c r="AF163" s="38"/>
      <c r="AG163" s="43"/>
      <c r="AH163" s="44"/>
      <c r="AI163" s="45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</row>
    <row r="164" spans="1:86">
      <c r="A164" s="33">
        <v>45499</v>
      </c>
      <c r="B164" s="1" t="s">
        <v>577</v>
      </c>
      <c r="C164" s="1" t="s">
        <v>578</v>
      </c>
      <c r="D164" s="1"/>
      <c r="E164" s="38" t="s">
        <v>41</v>
      </c>
      <c r="F164" s="38">
        <v>50</v>
      </c>
      <c r="G164" s="38" t="s">
        <v>84</v>
      </c>
      <c r="H164" s="38">
        <v>43.5</v>
      </c>
      <c r="I164" s="38">
        <v>307</v>
      </c>
      <c r="J164" s="11">
        <f t="shared" si="68"/>
        <v>307</v>
      </c>
      <c r="K164" s="5">
        <f t="shared" si="67"/>
        <v>14114.942528735632</v>
      </c>
      <c r="L164" s="39">
        <v>1</v>
      </c>
      <c r="M164" s="37">
        <f t="shared" si="63"/>
        <v>1</v>
      </c>
      <c r="N164" s="38"/>
      <c r="O164" s="46">
        <f t="shared" si="69"/>
        <v>307</v>
      </c>
      <c r="P164" s="42">
        <f t="shared" si="66"/>
        <v>0</v>
      </c>
      <c r="Q164" s="38"/>
      <c r="R164" s="38"/>
      <c r="S164" s="38"/>
      <c r="T164" s="38" t="s">
        <v>583</v>
      </c>
      <c r="U164" s="37">
        <f t="shared" si="65"/>
        <v>1</v>
      </c>
      <c r="V164" s="38">
        <v>4</v>
      </c>
      <c r="W164" s="38" t="s">
        <v>580</v>
      </c>
      <c r="X164" s="38"/>
      <c r="Y164" s="38"/>
      <c r="Z164" s="38"/>
      <c r="AA164" s="38"/>
      <c r="AB164" s="38"/>
      <c r="AC164" s="38"/>
      <c r="AD164" s="38"/>
      <c r="AE164" s="38"/>
      <c r="AF164" s="38"/>
      <c r="AG164" s="43"/>
      <c r="AH164" s="44"/>
      <c r="AI164" s="45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</row>
    <row r="165" spans="1:86">
      <c r="A165" s="33">
        <v>45499</v>
      </c>
      <c r="B165" s="1" t="s">
        <v>577</v>
      </c>
      <c r="C165" s="1" t="s">
        <v>578</v>
      </c>
      <c r="D165" s="1"/>
      <c r="E165" s="38" t="s">
        <v>41</v>
      </c>
      <c r="F165" s="38">
        <v>50</v>
      </c>
      <c r="G165" s="38" t="s">
        <v>84</v>
      </c>
      <c r="H165" s="38">
        <v>43.5</v>
      </c>
      <c r="I165" s="38">
        <v>293</v>
      </c>
      <c r="J165" s="11">
        <f t="shared" si="68"/>
        <v>293</v>
      </c>
      <c r="K165" s="5">
        <f t="shared" si="67"/>
        <v>13471.264367816091</v>
      </c>
      <c r="L165" s="39">
        <v>1</v>
      </c>
      <c r="M165" s="37">
        <f t="shared" si="63"/>
        <v>1</v>
      </c>
      <c r="N165" s="38"/>
      <c r="O165" s="46">
        <f t="shared" si="69"/>
        <v>293</v>
      </c>
      <c r="P165" s="42">
        <f t="shared" si="66"/>
        <v>0</v>
      </c>
      <c r="Q165" s="38"/>
      <c r="R165" s="38"/>
      <c r="S165" s="38"/>
      <c r="T165" s="38" t="s">
        <v>583</v>
      </c>
      <c r="U165" s="37">
        <f t="shared" si="65"/>
        <v>1</v>
      </c>
      <c r="V165" s="38">
        <v>4</v>
      </c>
      <c r="W165" s="38" t="s">
        <v>580</v>
      </c>
      <c r="X165" s="38"/>
      <c r="Y165" s="38"/>
      <c r="Z165" s="38"/>
      <c r="AA165" s="38"/>
      <c r="AB165" s="38"/>
      <c r="AC165" s="38"/>
      <c r="AD165" s="38"/>
      <c r="AE165" s="38"/>
      <c r="AF165" s="38"/>
      <c r="AG165" s="43"/>
      <c r="AH165" s="44"/>
      <c r="AI165" s="45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</row>
    <row r="166" spans="1:86">
      <c r="A166" s="33">
        <v>45499</v>
      </c>
      <c r="B166" s="1" t="s">
        <v>577</v>
      </c>
      <c r="C166" s="1" t="s">
        <v>578</v>
      </c>
      <c r="D166" s="1"/>
      <c r="E166" s="38" t="s">
        <v>41</v>
      </c>
      <c r="F166" s="38">
        <v>50</v>
      </c>
      <c r="G166" s="38" t="s">
        <v>84</v>
      </c>
      <c r="H166" s="38">
        <v>43.5</v>
      </c>
      <c r="I166" s="38">
        <v>275</v>
      </c>
      <c r="J166" s="11">
        <f t="shared" si="68"/>
        <v>275</v>
      </c>
      <c r="K166" s="5">
        <f t="shared" si="67"/>
        <v>12643.678160919539</v>
      </c>
      <c r="L166" s="39">
        <v>1</v>
      </c>
      <c r="M166" s="37">
        <f t="shared" si="63"/>
        <v>1</v>
      </c>
      <c r="N166" s="38"/>
      <c r="O166" s="46">
        <f t="shared" si="69"/>
        <v>275</v>
      </c>
      <c r="P166" s="42">
        <f t="shared" si="66"/>
        <v>0</v>
      </c>
      <c r="Q166" s="38"/>
      <c r="R166" s="38"/>
      <c r="S166" s="38"/>
      <c r="T166" s="38" t="s">
        <v>583</v>
      </c>
      <c r="U166" s="37">
        <f t="shared" si="65"/>
        <v>1</v>
      </c>
      <c r="V166" s="38">
        <v>4</v>
      </c>
      <c r="W166" s="38" t="s">
        <v>580</v>
      </c>
      <c r="X166" s="38"/>
      <c r="Y166" s="38"/>
      <c r="Z166" s="38"/>
      <c r="AA166" s="38"/>
      <c r="AB166" s="38"/>
      <c r="AC166" s="38"/>
      <c r="AD166" s="38"/>
      <c r="AE166" s="38"/>
      <c r="AF166" s="38"/>
      <c r="AG166" s="43"/>
      <c r="AH166" s="44"/>
      <c r="AI166" s="45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</row>
    <row r="167" spans="1:86">
      <c r="A167" s="33">
        <v>45499</v>
      </c>
      <c r="B167" s="1" t="s">
        <v>577</v>
      </c>
      <c r="C167" s="1" t="s">
        <v>578</v>
      </c>
      <c r="D167" s="1"/>
      <c r="E167" s="38" t="s">
        <v>41</v>
      </c>
      <c r="F167" s="38">
        <v>50</v>
      </c>
      <c r="G167" s="38" t="s">
        <v>84</v>
      </c>
      <c r="H167" s="38">
        <v>43.5</v>
      </c>
      <c r="I167" s="38">
        <v>307</v>
      </c>
      <c r="J167" s="11">
        <f t="shared" si="68"/>
        <v>307</v>
      </c>
      <c r="K167" s="5">
        <f t="shared" si="67"/>
        <v>14114.942528735632</v>
      </c>
      <c r="L167" s="39">
        <v>1</v>
      </c>
      <c r="M167" s="37">
        <f t="shared" si="63"/>
        <v>1</v>
      </c>
      <c r="N167" s="38"/>
      <c r="O167" s="46">
        <f t="shared" si="69"/>
        <v>307</v>
      </c>
      <c r="P167" s="42">
        <f t="shared" si="66"/>
        <v>0</v>
      </c>
      <c r="Q167" s="38"/>
      <c r="R167" s="38"/>
      <c r="S167" s="38"/>
      <c r="T167" s="38" t="s">
        <v>583</v>
      </c>
      <c r="U167" s="37">
        <f t="shared" si="65"/>
        <v>1</v>
      </c>
      <c r="V167" s="38">
        <v>4</v>
      </c>
      <c r="W167" s="38" t="s">
        <v>580</v>
      </c>
      <c r="X167" s="38"/>
      <c r="Y167" s="38"/>
      <c r="Z167" s="38"/>
      <c r="AA167" s="38"/>
      <c r="AB167" s="38"/>
      <c r="AC167" s="38"/>
      <c r="AD167" s="38"/>
      <c r="AE167" s="38"/>
      <c r="AF167" s="38"/>
      <c r="AG167" s="43"/>
      <c r="AH167" s="44"/>
      <c r="AI167" s="45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</row>
    <row r="168" spans="1:86">
      <c r="A168" s="33">
        <v>45499</v>
      </c>
      <c r="B168" s="1" t="s">
        <v>577</v>
      </c>
      <c r="C168" s="1" t="s">
        <v>578</v>
      </c>
      <c r="D168" s="1"/>
      <c r="E168" s="38" t="s">
        <v>41</v>
      </c>
      <c r="F168" s="38">
        <v>50</v>
      </c>
      <c r="G168" s="38" t="s">
        <v>84</v>
      </c>
      <c r="H168" s="38">
        <v>43.5</v>
      </c>
      <c r="I168" s="38">
        <v>276</v>
      </c>
      <c r="J168" s="11">
        <f t="shared" si="68"/>
        <v>276</v>
      </c>
      <c r="K168" s="5">
        <f t="shared" si="67"/>
        <v>12689.655172413792</v>
      </c>
      <c r="L168" s="39">
        <v>1</v>
      </c>
      <c r="M168" s="37">
        <f t="shared" si="63"/>
        <v>1</v>
      </c>
      <c r="N168" s="38"/>
      <c r="O168" s="46">
        <f t="shared" si="69"/>
        <v>276</v>
      </c>
      <c r="P168" s="42">
        <f t="shared" si="66"/>
        <v>0</v>
      </c>
      <c r="Q168" s="38"/>
      <c r="R168" s="38"/>
      <c r="S168" s="38"/>
      <c r="T168" s="38" t="s">
        <v>583</v>
      </c>
      <c r="U168" s="37">
        <f t="shared" si="65"/>
        <v>1</v>
      </c>
      <c r="V168" s="38">
        <v>4</v>
      </c>
      <c r="W168" s="38" t="s">
        <v>580</v>
      </c>
      <c r="X168" s="38"/>
      <c r="Y168" s="38"/>
      <c r="Z168" s="38"/>
      <c r="AA168" s="38"/>
      <c r="AB168" s="38"/>
      <c r="AC168" s="38"/>
      <c r="AD168" s="38"/>
      <c r="AE168" s="38"/>
      <c r="AF168" s="38"/>
      <c r="AG168" s="43"/>
      <c r="AH168" s="44"/>
      <c r="AI168" s="45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</row>
    <row r="169" spans="1:86">
      <c r="A169" s="33">
        <v>45499</v>
      </c>
      <c r="B169" s="1" t="s">
        <v>577</v>
      </c>
      <c r="C169" s="1" t="s">
        <v>578</v>
      </c>
      <c r="D169" s="1"/>
      <c r="E169" s="38" t="s">
        <v>41</v>
      </c>
      <c r="F169" s="38">
        <v>50</v>
      </c>
      <c r="G169" s="38" t="s">
        <v>84</v>
      </c>
      <c r="H169" s="38">
        <v>43.5</v>
      </c>
      <c r="I169" s="38">
        <v>295</v>
      </c>
      <c r="J169" s="11">
        <f t="shared" si="68"/>
        <v>295</v>
      </c>
      <c r="K169" s="5">
        <f t="shared" si="67"/>
        <v>13563.218390804597</v>
      </c>
      <c r="L169" s="39">
        <v>1</v>
      </c>
      <c r="M169" s="37">
        <f t="shared" si="63"/>
        <v>1</v>
      </c>
      <c r="N169" s="38"/>
      <c r="O169" s="46">
        <f t="shared" si="69"/>
        <v>295</v>
      </c>
      <c r="P169" s="42">
        <f t="shared" si="66"/>
        <v>0</v>
      </c>
      <c r="Q169" s="38"/>
      <c r="R169" s="38"/>
      <c r="S169" s="38"/>
      <c r="T169" s="38" t="s">
        <v>583</v>
      </c>
      <c r="U169" s="37">
        <f t="shared" si="65"/>
        <v>1</v>
      </c>
      <c r="V169" s="38">
        <v>4</v>
      </c>
      <c r="W169" s="38" t="s">
        <v>580</v>
      </c>
      <c r="X169" s="38"/>
      <c r="Y169" s="38"/>
      <c r="Z169" s="38"/>
      <c r="AA169" s="38"/>
      <c r="AB169" s="38"/>
      <c r="AC169" s="38"/>
      <c r="AD169" s="38"/>
      <c r="AE169" s="38"/>
      <c r="AF169" s="38"/>
      <c r="AG169" s="43"/>
      <c r="AH169" s="44"/>
      <c r="AI169" s="45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</row>
    <row r="170" spans="1:86">
      <c r="A170" s="33">
        <v>45499</v>
      </c>
      <c r="B170" s="1" t="s">
        <v>577</v>
      </c>
      <c r="C170" s="1" t="s">
        <v>578</v>
      </c>
      <c r="D170" s="1"/>
      <c r="E170" s="38" t="s">
        <v>41</v>
      </c>
      <c r="F170" s="38">
        <v>50</v>
      </c>
      <c r="G170" s="38" t="s">
        <v>84</v>
      </c>
      <c r="H170" s="38">
        <v>43.5</v>
      </c>
      <c r="I170" s="38">
        <v>296</v>
      </c>
      <c r="J170" s="11">
        <f t="shared" si="68"/>
        <v>296</v>
      </c>
      <c r="K170" s="5">
        <f t="shared" si="67"/>
        <v>13609.19540229885</v>
      </c>
      <c r="L170" s="39">
        <v>1</v>
      </c>
      <c r="M170" s="37">
        <f t="shared" si="63"/>
        <v>1</v>
      </c>
      <c r="N170" s="38"/>
      <c r="O170" s="46">
        <f t="shared" si="69"/>
        <v>296</v>
      </c>
      <c r="P170" s="42">
        <f t="shared" si="66"/>
        <v>0</v>
      </c>
      <c r="Q170" s="38"/>
      <c r="R170" s="38"/>
      <c r="S170" s="38"/>
      <c r="T170" s="38" t="s">
        <v>583</v>
      </c>
      <c r="U170" s="37">
        <f t="shared" si="65"/>
        <v>1</v>
      </c>
      <c r="V170" s="38">
        <v>4</v>
      </c>
      <c r="W170" s="38" t="s">
        <v>580</v>
      </c>
      <c r="X170" s="38"/>
      <c r="Y170" s="38"/>
      <c r="Z170" s="38"/>
      <c r="AA170" s="38"/>
      <c r="AB170" s="38"/>
      <c r="AC170" s="38"/>
      <c r="AD170" s="38"/>
      <c r="AE170" s="38"/>
      <c r="AF170" s="38"/>
      <c r="AG170" s="43"/>
      <c r="AH170" s="44"/>
      <c r="AI170" s="45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  <c r="BQ170" s="38"/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</row>
    <row r="171" spans="1:86">
      <c r="A171" s="33">
        <v>45499</v>
      </c>
      <c r="B171" s="1" t="s">
        <v>577</v>
      </c>
      <c r="C171" s="1" t="s">
        <v>578</v>
      </c>
      <c r="D171" s="1"/>
      <c r="E171" s="38" t="s">
        <v>41</v>
      </c>
      <c r="F171" s="38">
        <v>50</v>
      </c>
      <c r="G171" s="38" t="s">
        <v>84</v>
      </c>
      <c r="H171" s="38">
        <v>43.5</v>
      </c>
      <c r="I171" s="38">
        <v>303</v>
      </c>
      <c r="J171" s="11">
        <f t="shared" si="68"/>
        <v>303</v>
      </c>
      <c r="K171" s="5">
        <f t="shared" si="67"/>
        <v>13931.03448275862</v>
      </c>
      <c r="L171" s="39">
        <v>1</v>
      </c>
      <c r="M171" s="37">
        <f t="shared" si="63"/>
        <v>1</v>
      </c>
      <c r="N171" s="38"/>
      <c r="O171" s="46">
        <f t="shared" si="69"/>
        <v>303</v>
      </c>
      <c r="P171" s="42">
        <f t="shared" si="66"/>
        <v>0</v>
      </c>
      <c r="Q171" s="38"/>
      <c r="R171" s="38"/>
      <c r="S171" s="38"/>
      <c r="T171" s="38" t="s">
        <v>583</v>
      </c>
      <c r="U171" s="37">
        <f t="shared" si="65"/>
        <v>1</v>
      </c>
      <c r="V171" s="38">
        <v>4</v>
      </c>
      <c r="W171" s="38" t="s">
        <v>580</v>
      </c>
      <c r="X171" s="38"/>
      <c r="Y171" s="38"/>
      <c r="Z171" s="38"/>
      <c r="AA171" s="38"/>
      <c r="AB171" s="38"/>
      <c r="AC171" s="38"/>
      <c r="AD171" s="38"/>
      <c r="AE171" s="38"/>
      <c r="AF171" s="38"/>
      <c r="AG171" s="43"/>
      <c r="AH171" s="44"/>
      <c r="AI171" s="45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</row>
    <row r="172" spans="1:86">
      <c r="A172" s="33">
        <v>45499</v>
      </c>
      <c r="B172" s="1" t="s">
        <v>577</v>
      </c>
      <c r="C172" s="1" t="s">
        <v>578</v>
      </c>
      <c r="D172" s="1"/>
      <c r="E172" s="38" t="s">
        <v>41</v>
      </c>
      <c r="F172" s="38">
        <v>50</v>
      </c>
      <c r="G172" s="38" t="s">
        <v>84</v>
      </c>
      <c r="H172" s="38">
        <v>43.5</v>
      </c>
      <c r="I172" s="38">
        <v>289</v>
      </c>
      <c r="J172" s="11">
        <f t="shared" si="68"/>
        <v>289</v>
      </c>
      <c r="K172" s="5">
        <f t="shared" si="67"/>
        <v>13287.356321839079</v>
      </c>
      <c r="L172" s="39">
        <v>1</v>
      </c>
      <c r="M172" s="37">
        <f t="shared" si="63"/>
        <v>1</v>
      </c>
      <c r="N172" s="38"/>
      <c r="O172" s="46">
        <f t="shared" si="69"/>
        <v>289</v>
      </c>
      <c r="P172" s="42">
        <f t="shared" si="66"/>
        <v>0</v>
      </c>
      <c r="Q172" s="38"/>
      <c r="R172" s="38"/>
      <c r="S172" s="38"/>
      <c r="T172" s="38" t="s">
        <v>583</v>
      </c>
      <c r="U172" s="37">
        <f t="shared" si="65"/>
        <v>1</v>
      </c>
      <c r="V172" s="38">
        <v>4</v>
      </c>
      <c r="W172" s="38" t="s">
        <v>580</v>
      </c>
      <c r="X172" s="38"/>
      <c r="Y172" s="38"/>
      <c r="Z172" s="38"/>
      <c r="AA172" s="38"/>
      <c r="AB172" s="38"/>
      <c r="AC172" s="38"/>
      <c r="AD172" s="38"/>
      <c r="AE172" s="38"/>
      <c r="AF172" s="38"/>
      <c r="AG172" s="43"/>
      <c r="AH172" s="44"/>
      <c r="AI172" s="45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</row>
    <row r="173" spans="1:86">
      <c r="A173" s="33">
        <v>45499</v>
      </c>
      <c r="B173" s="1" t="s">
        <v>577</v>
      </c>
      <c r="C173" s="1" t="s">
        <v>578</v>
      </c>
      <c r="D173" s="1"/>
      <c r="E173" s="38" t="s">
        <v>41</v>
      </c>
      <c r="F173" s="38">
        <v>50</v>
      </c>
      <c r="G173" s="38" t="s">
        <v>84</v>
      </c>
      <c r="H173" s="38">
        <v>43.5</v>
      </c>
      <c r="I173" s="38">
        <v>289</v>
      </c>
      <c r="J173" s="11">
        <f t="shared" si="68"/>
        <v>289</v>
      </c>
      <c r="K173" s="5">
        <f t="shared" si="67"/>
        <v>13287.356321839079</v>
      </c>
      <c r="L173" s="39">
        <v>1</v>
      </c>
      <c r="M173" s="37">
        <f t="shared" si="63"/>
        <v>1</v>
      </c>
      <c r="N173" s="38"/>
      <c r="O173" s="46"/>
      <c r="P173" s="42">
        <f t="shared" si="66"/>
        <v>289</v>
      </c>
      <c r="Q173" s="38"/>
      <c r="R173" s="38"/>
      <c r="S173" s="38"/>
      <c r="T173" s="38" t="s">
        <v>583</v>
      </c>
      <c r="U173" s="37">
        <f t="shared" si="65"/>
        <v>1</v>
      </c>
      <c r="V173" s="38">
        <v>4</v>
      </c>
      <c r="W173" s="38" t="s">
        <v>580</v>
      </c>
      <c r="X173" s="38"/>
      <c r="Y173" s="38"/>
      <c r="Z173" s="38"/>
      <c r="AA173" s="38"/>
      <c r="AB173" s="38"/>
      <c r="AC173" s="38"/>
      <c r="AD173" s="38"/>
      <c r="AE173" s="38"/>
      <c r="AF173" s="38"/>
      <c r="AG173" s="43"/>
      <c r="AH173" s="44"/>
      <c r="AI173" s="45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</row>
    <row r="174" spans="1:86">
      <c r="A174" s="33">
        <v>45500</v>
      </c>
      <c r="B174" s="1" t="s">
        <v>584</v>
      </c>
      <c r="C174" s="1" t="s">
        <v>585</v>
      </c>
      <c r="D174" s="1"/>
      <c r="E174" s="38" t="s">
        <v>41</v>
      </c>
      <c r="F174" s="38">
        <v>50</v>
      </c>
      <c r="G174" s="38" t="s">
        <v>84</v>
      </c>
      <c r="H174" s="38">
        <v>87</v>
      </c>
      <c r="I174" s="38">
        <v>566</v>
      </c>
      <c r="J174" s="11">
        <f t="shared" si="68"/>
        <v>566</v>
      </c>
      <c r="K174" s="5">
        <f t="shared" si="67"/>
        <v>13011.494252873563</v>
      </c>
      <c r="L174" s="39">
        <v>1</v>
      </c>
      <c r="M174" s="37">
        <f t="shared" si="63"/>
        <v>1</v>
      </c>
      <c r="N174" s="38"/>
      <c r="O174" s="46"/>
      <c r="P174" s="42">
        <f t="shared" si="66"/>
        <v>566</v>
      </c>
      <c r="Q174" s="38"/>
      <c r="R174" s="38"/>
      <c r="S174" s="38"/>
      <c r="T174" s="38" t="s">
        <v>586</v>
      </c>
      <c r="U174" s="37">
        <f t="shared" si="65"/>
        <v>1</v>
      </c>
      <c r="V174" s="38">
        <v>4</v>
      </c>
      <c r="W174" s="38" t="s">
        <v>587</v>
      </c>
      <c r="X174" s="38"/>
      <c r="Y174" s="38"/>
      <c r="Z174" s="38"/>
      <c r="AA174" s="38"/>
      <c r="AB174" s="38"/>
      <c r="AC174" s="38"/>
      <c r="AD174" s="38"/>
      <c r="AE174" s="38"/>
      <c r="AF174" s="38"/>
      <c r="AG174" s="43"/>
      <c r="AH174" s="44"/>
      <c r="AI174" s="45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</row>
    <row r="175" spans="1:86">
      <c r="A175" s="33">
        <v>45500</v>
      </c>
      <c r="B175" s="1" t="s">
        <v>584</v>
      </c>
      <c r="C175" s="1" t="s">
        <v>585</v>
      </c>
      <c r="D175" s="1"/>
      <c r="E175" s="38" t="s">
        <v>41</v>
      </c>
      <c r="F175" s="38">
        <v>50</v>
      </c>
      <c r="G175" s="38" t="s">
        <v>84</v>
      </c>
      <c r="H175" s="38">
        <v>87</v>
      </c>
      <c r="I175" s="38">
        <v>569</v>
      </c>
      <c r="J175" s="11">
        <f t="shared" si="68"/>
        <v>569</v>
      </c>
      <c r="K175" s="5">
        <f t="shared" si="67"/>
        <v>13080.459770114941</v>
      </c>
      <c r="L175" s="39">
        <v>1</v>
      </c>
      <c r="M175" s="37">
        <f t="shared" si="63"/>
        <v>1</v>
      </c>
      <c r="N175" s="38"/>
      <c r="O175" s="46"/>
      <c r="P175" s="42">
        <f t="shared" si="66"/>
        <v>569</v>
      </c>
      <c r="Q175" s="38"/>
      <c r="R175" s="38"/>
      <c r="S175" s="38"/>
      <c r="T175" s="38" t="s">
        <v>586</v>
      </c>
      <c r="U175" s="37">
        <f t="shared" si="65"/>
        <v>1</v>
      </c>
      <c r="V175" s="38">
        <v>4</v>
      </c>
      <c r="W175" s="38" t="s">
        <v>587</v>
      </c>
      <c r="X175" s="38"/>
      <c r="Y175" s="38"/>
      <c r="Z175" s="38"/>
      <c r="AA175" s="38"/>
      <c r="AB175" s="38"/>
      <c r="AC175" s="38"/>
      <c r="AD175" s="38"/>
      <c r="AE175" s="38"/>
      <c r="AF175" s="38"/>
      <c r="AG175" s="43"/>
      <c r="AH175" s="44"/>
      <c r="AI175" s="45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</row>
    <row r="176" spans="1:86">
      <c r="A176" s="33">
        <v>45500</v>
      </c>
      <c r="B176" s="1" t="s">
        <v>584</v>
      </c>
      <c r="C176" s="1" t="s">
        <v>585</v>
      </c>
      <c r="D176" s="1"/>
      <c r="E176" s="38" t="s">
        <v>41</v>
      </c>
      <c r="F176" s="38">
        <v>50</v>
      </c>
      <c r="G176" s="38" t="s">
        <v>84</v>
      </c>
      <c r="H176" s="38">
        <v>87</v>
      </c>
      <c r="I176" s="38">
        <v>572</v>
      </c>
      <c r="J176" s="11">
        <f t="shared" si="68"/>
        <v>572</v>
      </c>
      <c r="K176" s="5">
        <f t="shared" si="67"/>
        <v>13149.42528735632</v>
      </c>
      <c r="L176" s="39">
        <v>1</v>
      </c>
      <c r="M176" s="37">
        <f t="shared" si="63"/>
        <v>1</v>
      </c>
      <c r="N176" s="38"/>
      <c r="O176" s="46"/>
      <c r="P176" s="42">
        <f t="shared" si="66"/>
        <v>572</v>
      </c>
      <c r="Q176" s="38"/>
      <c r="R176" s="38"/>
      <c r="S176" s="38"/>
      <c r="T176" s="38" t="s">
        <v>586</v>
      </c>
      <c r="U176" s="37">
        <f t="shared" si="65"/>
        <v>1</v>
      </c>
      <c r="V176" s="38">
        <v>4</v>
      </c>
      <c r="W176" s="38" t="s">
        <v>587</v>
      </c>
      <c r="X176" s="38"/>
      <c r="Y176" s="38"/>
      <c r="Z176" s="38"/>
      <c r="AA176" s="38"/>
      <c r="AB176" s="38"/>
      <c r="AC176" s="38"/>
      <c r="AD176" s="38"/>
      <c r="AE176" s="38"/>
      <c r="AF176" s="38"/>
      <c r="AG176" s="43"/>
      <c r="AH176" s="44"/>
      <c r="AI176" s="45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</row>
    <row r="177" spans="1:86">
      <c r="A177" s="33">
        <v>45500</v>
      </c>
      <c r="B177" s="1" t="s">
        <v>584</v>
      </c>
      <c r="C177" s="1" t="s">
        <v>585</v>
      </c>
      <c r="D177" s="1">
        <f>87-36</f>
        <v>51</v>
      </c>
      <c r="E177" s="38" t="s">
        <v>41</v>
      </c>
      <c r="F177" s="38">
        <v>50</v>
      </c>
      <c r="G177" s="38" t="s">
        <v>84</v>
      </c>
      <c r="H177" s="38">
        <v>87</v>
      </c>
      <c r="I177" s="38">
        <v>589</v>
      </c>
      <c r="J177" s="11">
        <f t="shared" si="68"/>
        <v>589</v>
      </c>
      <c r="K177" s="5">
        <f t="shared" si="67"/>
        <v>13540.22988505747</v>
      </c>
      <c r="L177" s="39">
        <v>1</v>
      </c>
      <c r="M177" s="37">
        <f t="shared" si="63"/>
        <v>1</v>
      </c>
      <c r="N177" s="38"/>
      <c r="O177" s="46"/>
      <c r="P177" s="42">
        <f t="shared" si="66"/>
        <v>589</v>
      </c>
      <c r="Q177" s="38"/>
      <c r="R177" s="38"/>
      <c r="S177" s="38"/>
      <c r="T177" s="38" t="s">
        <v>586</v>
      </c>
      <c r="U177" s="37">
        <f t="shared" si="65"/>
        <v>1</v>
      </c>
      <c r="V177" s="38">
        <v>4</v>
      </c>
      <c r="W177" s="38" t="s">
        <v>587</v>
      </c>
      <c r="X177" s="38"/>
      <c r="Y177" s="38"/>
      <c r="Z177" s="38"/>
      <c r="AA177" s="38"/>
      <c r="AB177" s="38"/>
      <c r="AC177" s="38"/>
      <c r="AD177" s="38"/>
      <c r="AE177" s="38"/>
      <c r="AF177" s="38"/>
      <c r="AG177" s="43"/>
      <c r="AH177" s="44"/>
      <c r="AI177" s="45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</row>
    <row r="178" spans="1:86">
      <c r="A178" s="33">
        <v>45500</v>
      </c>
      <c r="B178" s="1" t="s">
        <v>584</v>
      </c>
      <c r="C178" s="1" t="s">
        <v>585</v>
      </c>
      <c r="D178" s="1"/>
      <c r="E178" s="38" t="s">
        <v>41</v>
      </c>
      <c r="F178" s="38">
        <v>50</v>
      </c>
      <c r="G178" s="38" t="s">
        <v>84</v>
      </c>
      <c r="H178" s="38">
        <v>87</v>
      </c>
      <c r="I178" s="38">
        <v>595</v>
      </c>
      <c r="J178" s="11">
        <f t="shared" si="68"/>
        <v>595</v>
      </c>
      <c r="K178" s="5">
        <f t="shared" si="67"/>
        <v>13678.160919540229</v>
      </c>
      <c r="L178" s="39">
        <v>1</v>
      </c>
      <c r="M178" s="37">
        <f t="shared" si="63"/>
        <v>1</v>
      </c>
      <c r="N178" s="38"/>
      <c r="O178" s="46"/>
      <c r="P178" s="42">
        <f t="shared" si="66"/>
        <v>595</v>
      </c>
      <c r="Q178" s="38"/>
      <c r="R178" s="38"/>
      <c r="S178" s="38"/>
      <c r="T178" s="38" t="s">
        <v>586</v>
      </c>
      <c r="U178" s="37">
        <f t="shared" si="65"/>
        <v>1</v>
      </c>
      <c r="V178" s="38">
        <v>4</v>
      </c>
      <c r="W178" s="38" t="s">
        <v>587</v>
      </c>
      <c r="X178" s="38"/>
      <c r="Y178" s="38"/>
      <c r="Z178" s="38"/>
      <c r="AA178" s="38"/>
      <c r="AB178" s="38"/>
      <c r="AC178" s="38"/>
      <c r="AD178" s="38"/>
      <c r="AE178" s="38"/>
      <c r="AF178" s="38"/>
      <c r="AG178" s="43"/>
      <c r="AH178" s="44"/>
      <c r="AI178" s="45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</row>
    <row r="179" spans="1:86" ht="28.8">
      <c r="A179" s="33">
        <v>45793</v>
      </c>
      <c r="B179" s="1" t="s">
        <v>588</v>
      </c>
      <c r="C179" s="1" t="s">
        <v>588</v>
      </c>
      <c r="D179" s="1"/>
      <c r="E179" s="38" t="s">
        <v>83</v>
      </c>
      <c r="F179" s="38">
        <v>90</v>
      </c>
      <c r="G179" s="38" t="s">
        <v>84</v>
      </c>
      <c r="H179" s="38">
        <v>100</v>
      </c>
      <c r="I179" s="38">
        <v>1206</v>
      </c>
      <c r="J179" s="11">
        <f t="shared" si="68"/>
        <v>1206</v>
      </c>
      <c r="K179" s="5">
        <f t="shared" ref="K179:K191" si="70">+J179/(F179*H179*10^-5)</f>
        <v>13399.999999999998</v>
      </c>
      <c r="L179" s="39">
        <v>1</v>
      </c>
      <c r="M179" s="37">
        <f t="shared" si="63"/>
        <v>1</v>
      </c>
      <c r="N179" s="38"/>
      <c r="O179" s="46"/>
      <c r="P179" s="42">
        <f t="shared" si="66"/>
        <v>1206</v>
      </c>
      <c r="Q179" s="38" t="s">
        <v>445</v>
      </c>
      <c r="R179" s="38"/>
      <c r="S179" s="38"/>
      <c r="T179" s="38"/>
      <c r="U179" s="37">
        <f t="shared" si="65"/>
        <v>1</v>
      </c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43"/>
      <c r="AH179" s="44"/>
      <c r="AI179" s="45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</row>
    <row r="180" spans="1:86">
      <c r="A180" s="33">
        <v>45708</v>
      </c>
      <c r="B180" s="1" t="s">
        <v>589</v>
      </c>
      <c r="C180" s="1" t="s">
        <v>589</v>
      </c>
      <c r="D180" s="1"/>
      <c r="E180" s="38" t="s">
        <v>41</v>
      </c>
      <c r="F180" s="38">
        <v>100</v>
      </c>
      <c r="G180" s="38" t="s">
        <v>590</v>
      </c>
      <c r="H180" s="38">
        <v>72</v>
      </c>
      <c r="I180" s="38">
        <v>560</v>
      </c>
      <c r="J180" s="11">
        <f t="shared" si="68"/>
        <v>560</v>
      </c>
      <c r="K180" s="5">
        <f t="shared" si="70"/>
        <v>7777.7777777777765</v>
      </c>
      <c r="L180" s="39">
        <v>1</v>
      </c>
      <c r="M180" s="37">
        <f t="shared" si="63"/>
        <v>1</v>
      </c>
      <c r="N180" s="38"/>
      <c r="O180" s="46"/>
      <c r="P180" s="42">
        <f t="shared" si="66"/>
        <v>560</v>
      </c>
      <c r="Q180" s="38"/>
      <c r="R180" s="38"/>
      <c r="S180" s="38"/>
      <c r="T180" s="38" t="s">
        <v>591</v>
      </c>
      <c r="U180" s="37">
        <f t="shared" si="65"/>
        <v>1</v>
      </c>
      <c r="V180" s="38"/>
      <c r="W180" s="38" t="s">
        <v>592</v>
      </c>
      <c r="X180" s="38"/>
      <c r="Y180" s="38"/>
      <c r="Z180" s="38"/>
      <c r="AA180" s="38"/>
      <c r="AB180" s="38"/>
      <c r="AC180" s="38"/>
      <c r="AD180" s="38"/>
      <c r="AE180" s="38"/>
      <c r="AF180" s="38"/>
      <c r="AG180" s="43"/>
      <c r="AH180" s="44"/>
      <c r="AI180" s="45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</row>
    <row r="181" spans="1:86">
      <c r="A181" s="33">
        <v>45708</v>
      </c>
      <c r="B181" s="1" t="s">
        <v>589</v>
      </c>
      <c r="C181" s="1" t="s">
        <v>589</v>
      </c>
      <c r="D181" s="1"/>
      <c r="E181" s="38" t="s">
        <v>41</v>
      </c>
      <c r="F181" s="38">
        <v>100</v>
      </c>
      <c r="G181" s="38" t="s">
        <v>590</v>
      </c>
      <c r="H181" s="38">
        <v>72</v>
      </c>
      <c r="I181" s="38">
        <v>560</v>
      </c>
      <c r="J181" s="11">
        <f t="shared" si="68"/>
        <v>560</v>
      </c>
      <c r="K181" s="5">
        <f t="shared" si="70"/>
        <v>7777.7777777777765</v>
      </c>
      <c r="L181" s="39">
        <v>1</v>
      </c>
      <c r="M181" s="37">
        <f t="shared" si="63"/>
        <v>1</v>
      </c>
      <c r="N181" s="38"/>
      <c r="O181" s="46"/>
      <c r="P181" s="42">
        <f t="shared" si="66"/>
        <v>560</v>
      </c>
      <c r="Q181" s="38"/>
      <c r="R181" s="38"/>
      <c r="S181" s="38"/>
      <c r="T181" s="38" t="s">
        <v>591</v>
      </c>
      <c r="U181" s="37">
        <f t="shared" si="65"/>
        <v>1</v>
      </c>
      <c r="V181" s="38"/>
      <c r="W181" s="38" t="s">
        <v>592</v>
      </c>
      <c r="X181" s="38"/>
      <c r="Y181" s="38"/>
      <c r="Z181" s="38"/>
      <c r="AA181" s="38"/>
      <c r="AB181" s="38"/>
      <c r="AC181" s="38"/>
      <c r="AD181" s="38"/>
      <c r="AE181" s="38"/>
      <c r="AF181" s="38"/>
      <c r="AG181" s="43"/>
      <c r="AH181" s="44"/>
      <c r="AI181" s="45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</row>
    <row r="182" spans="1:86">
      <c r="A182" s="33">
        <v>45708</v>
      </c>
      <c r="B182" s="1" t="s">
        <v>589</v>
      </c>
      <c r="C182" s="1" t="s">
        <v>589</v>
      </c>
      <c r="D182" s="1"/>
      <c r="E182" s="38" t="s">
        <v>41</v>
      </c>
      <c r="F182" s="38">
        <v>100</v>
      </c>
      <c r="G182" s="38" t="s">
        <v>590</v>
      </c>
      <c r="H182" s="38">
        <v>72</v>
      </c>
      <c r="I182" s="38">
        <v>558</v>
      </c>
      <c r="J182" s="11">
        <f t="shared" si="68"/>
        <v>558</v>
      </c>
      <c r="K182" s="5">
        <f t="shared" si="70"/>
        <v>7749.9999999999991</v>
      </c>
      <c r="L182" s="39">
        <v>1</v>
      </c>
      <c r="M182" s="37">
        <f t="shared" si="63"/>
        <v>1</v>
      </c>
      <c r="N182" s="38"/>
      <c r="O182" s="46"/>
      <c r="P182" s="42">
        <f t="shared" si="66"/>
        <v>558</v>
      </c>
      <c r="Q182" s="38"/>
      <c r="R182" s="38"/>
      <c r="S182" s="38"/>
      <c r="T182" s="38" t="s">
        <v>591</v>
      </c>
      <c r="U182" s="37">
        <f t="shared" si="65"/>
        <v>1</v>
      </c>
      <c r="V182" s="38"/>
      <c r="W182" s="38" t="s">
        <v>592</v>
      </c>
      <c r="X182" s="38"/>
      <c r="Y182" s="38"/>
      <c r="Z182" s="38"/>
      <c r="AA182" s="38"/>
      <c r="AB182" s="38"/>
      <c r="AC182" s="38"/>
      <c r="AD182" s="38"/>
      <c r="AE182" s="38"/>
      <c r="AF182" s="38"/>
      <c r="AG182" s="43"/>
      <c r="AH182" s="44"/>
      <c r="AI182" s="45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</row>
    <row r="183" spans="1:86">
      <c r="A183" s="33">
        <v>45708</v>
      </c>
      <c r="B183" s="1" t="s">
        <v>593</v>
      </c>
      <c r="C183" s="1" t="s">
        <v>593</v>
      </c>
      <c r="D183" s="1"/>
      <c r="E183" s="38" t="s">
        <v>41</v>
      </c>
      <c r="F183" s="38">
        <v>100</v>
      </c>
      <c r="G183" s="38" t="s">
        <v>590</v>
      </c>
      <c r="H183" s="38">
        <v>84</v>
      </c>
      <c r="I183" s="38">
        <v>785</v>
      </c>
      <c r="J183" s="11">
        <f t="shared" si="68"/>
        <v>785</v>
      </c>
      <c r="K183" s="5">
        <f t="shared" si="70"/>
        <v>9345.2380952380954</v>
      </c>
      <c r="L183" s="39">
        <v>1</v>
      </c>
      <c r="M183" s="37">
        <f t="shared" si="63"/>
        <v>1</v>
      </c>
      <c r="N183" s="38"/>
      <c r="O183" s="46"/>
      <c r="P183" s="42">
        <f t="shared" si="66"/>
        <v>785</v>
      </c>
      <c r="Q183" s="38"/>
      <c r="R183" s="38"/>
      <c r="S183" s="38"/>
      <c r="T183" s="38" t="s">
        <v>591</v>
      </c>
      <c r="U183" s="37">
        <f t="shared" si="65"/>
        <v>1</v>
      </c>
      <c r="V183" s="38"/>
      <c r="W183" s="38" t="s">
        <v>592</v>
      </c>
      <c r="X183" s="38"/>
      <c r="Y183" s="38"/>
      <c r="Z183" s="38"/>
      <c r="AA183" s="38"/>
      <c r="AB183" s="38"/>
      <c r="AC183" s="38"/>
      <c r="AD183" s="38"/>
      <c r="AE183" s="38"/>
      <c r="AF183" s="38"/>
      <c r="AG183" s="43"/>
      <c r="AH183" s="44"/>
      <c r="AI183" s="45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</row>
    <row r="184" spans="1:86">
      <c r="A184" s="33">
        <v>45708</v>
      </c>
      <c r="B184" s="1" t="s">
        <v>593</v>
      </c>
      <c r="C184" s="1" t="s">
        <v>593</v>
      </c>
      <c r="D184" s="1"/>
      <c r="E184" s="38" t="s">
        <v>41</v>
      </c>
      <c r="F184" s="38">
        <v>100</v>
      </c>
      <c r="G184" s="38" t="s">
        <v>590</v>
      </c>
      <c r="H184" s="38">
        <v>84</v>
      </c>
      <c r="I184" s="38">
        <v>783</v>
      </c>
      <c r="J184" s="11">
        <f t="shared" si="68"/>
        <v>783</v>
      </c>
      <c r="K184" s="5">
        <f t="shared" si="70"/>
        <v>9321.4285714285706</v>
      </c>
      <c r="L184" s="39">
        <v>1</v>
      </c>
      <c r="M184" s="37">
        <f t="shared" ref="M184:M218" si="71">+L184-X184-Z184-AD184-AB184-AF184-AH184-AJ184-AL184-AO184-AQ184-AS184-AU184-AW184-AY184-BA184-BC184-BE184-BG184-BI184-BK184-BM184-BO184-BQ184-BS184-BU184-BW184-BY184-CA184-CC184-CE184-CG184</f>
        <v>1</v>
      </c>
      <c r="N184" s="38"/>
      <c r="O184" s="46"/>
      <c r="P184" s="42">
        <f t="shared" si="66"/>
        <v>783</v>
      </c>
      <c r="Q184" s="38"/>
      <c r="R184" s="38"/>
      <c r="S184" s="38"/>
      <c r="T184" s="38" t="s">
        <v>591</v>
      </c>
      <c r="U184" s="37">
        <f t="shared" si="65"/>
        <v>1</v>
      </c>
      <c r="V184" s="38"/>
      <c r="W184" s="38" t="s">
        <v>592</v>
      </c>
      <c r="X184" s="38"/>
      <c r="Y184" s="38"/>
      <c r="Z184" s="38"/>
      <c r="AA184" s="38"/>
      <c r="AB184" s="38"/>
      <c r="AC184" s="38"/>
      <c r="AD184" s="38"/>
      <c r="AE184" s="38"/>
      <c r="AF184" s="38"/>
      <c r="AG184" s="43"/>
      <c r="AH184" s="44"/>
      <c r="AI184" s="45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</row>
    <row r="185" spans="1:86">
      <c r="A185" s="33">
        <v>45708</v>
      </c>
      <c r="B185" s="1" t="s">
        <v>593</v>
      </c>
      <c r="C185" s="1" t="s">
        <v>593</v>
      </c>
      <c r="D185" s="1"/>
      <c r="E185" s="38" t="s">
        <v>41</v>
      </c>
      <c r="F185" s="38">
        <v>100</v>
      </c>
      <c r="G185" s="38" t="s">
        <v>590</v>
      </c>
      <c r="H185" s="38">
        <v>84</v>
      </c>
      <c r="I185" s="38">
        <v>787</v>
      </c>
      <c r="J185" s="11">
        <f t="shared" si="68"/>
        <v>787</v>
      </c>
      <c r="K185" s="5">
        <f t="shared" si="70"/>
        <v>9369.0476190476184</v>
      </c>
      <c r="L185" s="39">
        <v>1</v>
      </c>
      <c r="M185" s="37">
        <f t="shared" si="71"/>
        <v>1</v>
      </c>
      <c r="N185" s="38"/>
      <c r="O185" s="46"/>
      <c r="P185" s="42">
        <f t="shared" si="66"/>
        <v>787</v>
      </c>
      <c r="Q185" s="38"/>
      <c r="R185" s="38"/>
      <c r="S185" s="38"/>
      <c r="T185" s="38" t="s">
        <v>591</v>
      </c>
      <c r="U185" s="37">
        <f t="shared" si="65"/>
        <v>1</v>
      </c>
      <c r="V185" s="38"/>
      <c r="W185" s="38" t="s">
        <v>592</v>
      </c>
      <c r="X185" s="38"/>
      <c r="Y185" s="38"/>
      <c r="Z185" s="38"/>
      <c r="AA185" s="38"/>
      <c r="AB185" s="38"/>
      <c r="AC185" s="38"/>
      <c r="AD185" s="38"/>
      <c r="AE185" s="38"/>
      <c r="AF185" s="38"/>
      <c r="AG185" s="43"/>
      <c r="AH185" s="44"/>
      <c r="AI185" s="45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</row>
    <row r="186" spans="1:86">
      <c r="A186" s="33">
        <v>45708</v>
      </c>
      <c r="B186" s="1" t="s">
        <v>593</v>
      </c>
      <c r="C186" s="1" t="s">
        <v>593</v>
      </c>
      <c r="D186" s="1"/>
      <c r="E186" s="38" t="s">
        <v>41</v>
      </c>
      <c r="F186" s="38">
        <v>100</v>
      </c>
      <c r="G186" s="38" t="s">
        <v>590</v>
      </c>
      <c r="H186" s="38">
        <v>84</v>
      </c>
      <c r="I186" s="38">
        <v>789</v>
      </c>
      <c r="J186" s="11">
        <f t="shared" si="68"/>
        <v>789</v>
      </c>
      <c r="K186" s="5">
        <f t="shared" si="70"/>
        <v>9392.8571428571431</v>
      </c>
      <c r="L186" s="39">
        <v>1</v>
      </c>
      <c r="M186" s="37">
        <f t="shared" si="71"/>
        <v>1</v>
      </c>
      <c r="N186" s="38"/>
      <c r="O186" s="46"/>
      <c r="P186" s="42">
        <f t="shared" si="66"/>
        <v>789</v>
      </c>
      <c r="Q186" s="38"/>
      <c r="R186" s="38"/>
      <c r="S186" s="38"/>
      <c r="T186" s="38" t="s">
        <v>591</v>
      </c>
      <c r="U186" s="37">
        <f t="shared" si="65"/>
        <v>1</v>
      </c>
      <c r="V186" s="38"/>
      <c r="W186" s="38" t="s">
        <v>592</v>
      </c>
      <c r="X186" s="38"/>
      <c r="Y186" s="38"/>
      <c r="Z186" s="38"/>
      <c r="AA186" s="38"/>
      <c r="AB186" s="38"/>
      <c r="AC186" s="38"/>
      <c r="AD186" s="38"/>
      <c r="AE186" s="38"/>
      <c r="AF186" s="38"/>
      <c r="AG186" s="43"/>
      <c r="AH186" s="44"/>
      <c r="AI186" s="45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</row>
    <row r="187" spans="1:86">
      <c r="A187" s="33">
        <v>45708</v>
      </c>
      <c r="B187" s="1" t="s">
        <v>593</v>
      </c>
      <c r="C187" s="1" t="s">
        <v>593</v>
      </c>
      <c r="D187" s="1"/>
      <c r="E187" s="38" t="s">
        <v>41</v>
      </c>
      <c r="F187" s="38">
        <v>100</v>
      </c>
      <c r="G187" s="38" t="s">
        <v>590</v>
      </c>
      <c r="H187" s="38">
        <v>84</v>
      </c>
      <c r="I187" s="38">
        <v>787</v>
      </c>
      <c r="J187" s="11">
        <f t="shared" si="68"/>
        <v>787</v>
      </c>
      <c r="K187" s="5">
        <f t="shared" si="70"/>
        <v>9369.0476190476184</v>
      </c>
      <c r="L187" s="39">
        <v>1</v>
      </c>
      <c r="M187" s="37">
        <f t="shared" si="71"/>
        <v>1</v>
      </c>
      <c r="N187" s="38"/>
      <c r="O187" s="46"/>
      <c r="P187" s="42">
        <f t="shared" si="66"/>
        <v>787</v>
      </c>
      <c r="Q187" s="38"/>
      <c r="R187" s="38"/>
      <c r="S187" s="38"/>
      <c r="T187" s="38" t="s">
        <v>591</v>
      </c>
      <c r="U187" s="37">
        <f t="shared" si="65"/>
        <v>1</v>
      </c>
      <c r="V187" s="38"/>
      <c r="W187" s="38" t="s">
        <v>592</v>
      </c>
      <c r="X187" s="38"/>
      <c r="Y187" s="38"/>
      <c r="Z187" s="38"/>
      <c r="AA187" s="38"/>
      <c r="AB187" s="38"/>
      <c r="AC187" s="38"/>
      <c r="AD187" s="38"/>
      <c r="AE187" s="38"/>
      <c r="AF187" s="38"/>
      <c r="AG187" s="43"/>
      <c r="AH187" s="44"/>
      <c r="AI187" s="45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</row>
    <row r="188" spans="1:86">
      <c r="A188" s="33">
        <v>45709</v>
      </c>
      <c r="B188" s="1" t="s">
        <v>593</v>
      </c>
      <c r="C188" s="1" t="s">
        <v>593</v>
      </c>
      <c r="D188" s="1"/>
      <c r="E188" s="38" t="s">
        <v>41</v>
      </c>
      <c r="F188" s="38">
        <v>100</v>
      </c>
      <c r="G188" s="38" t="s">
        <v>590</v>
      </c>
      <c r="H188" s="38">
        <v>84</v>
      </c>
      <c r="I188" s="38">
        <v>771</v>
      </c>
      <c r="J188" s="11">
        <f t="shared" si="68"/>
        <v>771</v>
      </c>
      <c r="K188" s="5">
        <f t="shared" si="70"/>
        <v>9178.5714285714275</v>
      </c>
      <c r="L188" s="39">
        <v>1</v>
      </c>
      <c r="M188" s="37">
        <f t="shared" si="71"/>
        <v>1</v>
      </c>
      <c r="N188" s="38"/>
      <c r="O188" s="46"/>
      <c r="P188" s="42">
        <f t="shared" si="66"/>
        <v>771</v>
      </c>
      <c r="Q188" s="38"/>
      <c r="R188" s="38"/>
      <c r="S188" s="38"/>
      <c r="T188" s="38" t="s">
        <v>591</v>
      </c>
      <c r="U188" s="37">
        <f t="shared" si="65"/>
        <v>1</v>
      </c>
      <c r="V188" s="38"/>
      <c r="W188" s="38" t="s">
        <v>592</v>
      </c>
      <c r="X188" s="38"/>
      <c r="Y188" s="38"/>
      <c r="Z188" s="38"/>
      <c r="AA188" s="38"/>
      <c r="AB188" s="38"/>
      <c r="AC188" s="38"/>
      <c r="AD188" s="38"/>
      <c r="AE188" s="38"/>
      <c r="AF188" s="38"/>
      <c r="AG188" s="43"/>
      <c r="AH188" s="44"/>
      <c r="AI188" s="45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</row>
    <row r="189" spans="1:86">
      <c r="A189" s="33">
        <v>45709</v>
      </c>
      <c r="B189" s="1" t="s">
        <v>593</v>
      </c>
      <c r="C189" s="1" t="s">
        <v>593</v>
      </c>
      <c r="D189" s="1"/>
      <c r="E189" s="38" t="s">
        <v>41</v>
      </c>
      <c r="F189" s="38">
        <v>100</v>
      </c>
      <c r="G189" s="38" t="s">
        <v>590</v>
      </c>
      <c r="H189" s="38">
        <v>84</v>
      </c>
      <c r="I189" s="38">
        <v>770</v>
      </c>
      <c r="J189" s="11">
        <f t="shared" si="68"/>
        <v>770</v>
      </c>
      <c r="K189" s="5">
        <f t="shared" si="70"/>
        <v>9166.6666666666661</v>
      </c>
      <c r="L189" s="39">
        <v>1</v>
      </c>
      <c r="M189" s="37">
        <f t="shared" si="71"/>
        <v>1</v>
      </c>
      <c r="N189" s="38"/>
      <c r="O189" s="46"/>
      <c r="P189" s="42">
        <f t="shared" si="66"/>
        <v>770</v>
      </c>
      <c r="Q189" s="38"/>
      <c r="R189" s="38"/>
      <c r="S189" s="38"/>
      <c r="T189" s="38" t="s">
        <v>591</v>
      </c>
      <c r="U189" s="37">
        <f t="shared" si="65"/>
        <v>1</v>
      </c>
      <c r="V189" s="38"/>
      <c r="W189" s="38" t="s">
        <v>592</v>
      </c>
      <c r="X189" s="38"/>
      <c r="Y189" s="38"/>
      <c r="Z189" s="38"/>
      <c r="AA189" s="38"/>
      <c r="AB189" s="38"/>
      <c r="AC189" s="38"/>
      <c r="AD189" s="38"/>
      <c r="AE189" s="38"/>
      <c r="AF189" s="38"/>
      <c r="AG189" s="43"/>
      <c r="AH189" s="44"/>
      <c r="AI189" s="45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</row>
    <row r="190" spans="1:86">
      <c r="A190" s="33">
        <v>45709</v>
      </c>
      <c r="B190" s="1" t="s">
        <v>593</v>
      </c>
      <c r="C190" s="1" t="s">
        <v>593</v>
      </c>
      <c r="D190" s="1"/>
      <c r="E190" s="38" t="s">
        <v>41</v>
      </c>
      <c r="F190" s="38">
        <v>100</v>
      </c>
      <c r="G190" s="38" t="s">
        <v>590</v>
      </c>
      <c r="H190" s="38">
        <v>84</v>
      </c>
      <c r="I190" s="38">
        <v>383</v>
      </c>
      <c r="J190" s="11">
        <f t="shared" si="68"/>
        <v>766</v>
      </c>
      <c r="K190" s="5">
        <f t="shared" si="70"/>
        <v>9119.0476190476184</v>
      </c>
      <c r="L190" s="39">
        <v>2</v>
      </c>
      <c r="M190" s="37">
        <f t="shared" si="71"/>
        <v>2</v>
      </c>
      <c r="N190" s="38"/>
      <c r="O190" s="46"/>
      <c r="P190" s="42">
        <f t="shared" si="66"/>
        <v>766</v>
      </c>
      <c r="Q190" s="38"/>
      <c r="R190" s="38"/>
      <c r="S190" s="38"/>
      <c r="T190" s="38" t="s">
        <v>591</v>
      </c>
      <c r="U190" s="37">
        <f t="shared" si="65"/>
        <v>2</v>
      </c>
      <c r="V190" s="38"/>
      <c r="W190" s="38" t="s">
        <v>592</v>
      </c>
      <c r="X190" s="38"/>
      <c r="Y190" s="38"/>
      <c r="Z190" s="38"/>
      <c r="AA190" s="38"/>
      <c r="AB190" s="38"/>
      <c r="AC190" s="38"/>
      <c r="AD190" s="38"/>
      <c r="AE190" s="38"/>
      <c r="AF190" s="38"/>
      <c r="AG190" s="43"/>
      <c r="AH190" s="44"/>
      <c r="AI190" s="45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</row>
    <row r="191" spans="1:86">
      <c r="A191" s="33">
        <v>45709</v>
      </c>
      <c r="B191" s="1" t="s">
        <v>593</v>
      </c>
      <c r="C191" s="1" t="s">
        <v>593</v>
      </c>
      <c r="D191" s="1"/>
      <c r="E191" s="38" t="s">
        <v>41</v>
      </c>
      <c r="F191" s="38">
        <v>100</v>
      </c>
      <c r="G191" s="38" t="s">
        <v>590</v>
      </c>
      <c r="H191" s="38">
        <v>84</v>
      </c>
      <c r="I191" s="38">
        <v>381</v>
      </c>
      <c r="J191" s="11">
        <f t="shared" si="68"/>
        <v>381</v>
      </c>
      <c r="K191" s="5">
        <f t="shared" si="70"/>
        <v>4535.7142857142853</v>
      </c>
      <c r="L191" s="39">
        <v>1</v>
      </c>
      <c r="M191" s="37">
        <f t="shared" si="71"/>
        <v>1</v>
      </c>
      <c r="N191" s="38"/>
      <c r="O191" s="46"/>
      <c r="P191" s="42">
        <f t="shared" si="66"/>
        <v>381</v>
      </c>
      <c r="Q191" s="38"/>
      <c r="R191" s="38"/>
      <c r="S191" s="38"/>
      <c r="T191" s="38" t="s">
        <v>591</v>
      </c>
      <c r="U191" s="37">
        <f t="shared" si="65"/>
        <v>1</v>
      </c>
      <c r="V191" s="38"/>
      <c r="W191" s="38" t="s">
        <v>592</v>
      </c>
      <c r="X191" s="38"/>
      <c r="Y191" s="38"/>
      <c r="Z191" s="38"/>
      <c r="AA191" s="38"/>
      <c r="AB191" s="38"/>
      <c r="AC191" s="38"/>
      <c r="AD191" s="38"/>
      <c r="AE191" s="38"/>
      <c r="AF191" s="38"/>
      <c r="AG191" s="43"/>
      <c r="AH191" s="44"/>
      <c r="AI191" s="45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</row>
    <row r="192" spans="1:86">
      <c r="A192" s="33">
        <v>45773</v>
      </c>
      <c r="B192" s="1" t="s">
        <v>589</v>
      </c>
      <c r="C192" s="1" t="s">
        <v>589</v>
      </c>
      <c r="D192" s="1"/>
      <c r="E192" s="38" t="s">
        <v>41</v>
      </c>
      <c r="F192" s="38">
        <v>100</v>
      </c>
      <c r="G192" s="38" t="s">
        <v>590</v>
      </c>
      <c r="H192" s="38">
        <v>72</v>
      </c>
      <c r="I192" s="38">
        <v>737</v>
      </c>
      <c r="J192" s="11">
        <f t="shared" si="68"/>
        <v>737</v>
      </c>
      <c r="K192" s="5">
        <f t="shared" ref="K192:K193" si="72">+J192/(F192*H192*10^-5)</f>
        <v>10236.111111111109</v>
      </c>
      <c r="L192" s="39">
        <v>1</v>
      </c>
      <c r="M192" s="37">
        <f t="shared" si="71"/>
        <v>1</v>
      </c>
      <c r="N192" s="38"/>
      <c r="O192" s="46"/>
      <c r="P192" s="42">
        <f t="shared" si="66"/>
        <v>737</v>
      </c>
      <c r="Q192" s="38"/>
      <c r="R192" s="38"/>
      <c r="S192" s="38"/>
      <c r="T192" s="38"/>
      <c r="U192" s="37">
        <f t="shared" ref="U192:U230" si="73">+L192-X192-Z192-AD192-AB192-AF192-AH192-AJ192-AL192-AO192-AQ192-AS192-AU192-AW192-AY192-BA192-BC192-BE192-BG192-BI192-BK192-BM192-BO192-BQ192-BS192-BU192-BW192-BY192-CA192-CC192-CE192-CG192</f>
        <v>1</v>
      </c>
      <c r="V192" s="38"/>
      <c r="W192" s="38" t="s">
        <v>592</v>
      </c>
      <c r="X192" s="38"/>
      <c r="Y192" s="38"/>
      <c r="Z192" s="38"/>
      <c r="AA192" s="38"/>
      <c r="AB192" s="38"/>
      <c r="AC192" s="38"/>
      <c r="AD192" s="38"/>
      <c r="AE192" s="38"/>
      <c r="AF192" s="38"/>
      <c r="AG192" s="43"/>
      <c r="AH192" s="44"/>
      <c r="AI192" s="45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</row>
    <row r="193" spans="1:86">
      <c r="A193" s="33">
        <v>45776</v>
      </c>
      <c r="B193" s="1" t="s">
        <v>589</v>
      </c>
      <c r="C193" s="1" t="s">
        <v>589</v>
      </c>
      <c r="D193" s="1"/>
      <c r="E193" s="38" t="s">
        <v>41</v>
      </c>
      <c r="F193" s="38">
        <v>100</v>
      </c>
      <c r="G193" s="38" t="s">
        <v>590</v>
      </c>
      <c r="H193" s="38">
        <v>72</v>
      </c>
      <c r="I193" s="38">
        <v>671</v>
      </c>
      <c r="J193" s="11">
        <f t="shared" si="68"/>
        <v>671</v>
      </c>
      <c r="K193" s="5">
        <f t="shared" si="72"/>
        <v>9319.4444444444434</v>
      </c>
      <c r="L193" s="39">
        <v>1</v>
      </c>
      <c r="M193" s="37">
        <f t="shared" si="71"/>
        <v>1</v>
      </c>
      <c r="N193" s="38"/>
      <c r="O193" s="46"/>
      <c r="P193" s="42">
        <f t="shared" si="66"/>
        <v>671</v>
      </c>
      <c r="Q193" s="38"/>
      <c r="R193" s="38"/>
      <c r="S193" s="38"/>
      <c r="T193" s="38"/>
      <c r="U193" s="37">
        <f t="shared" si="73"/>
        <v>1</v>
      </c>
      <c r="V193" s="38"/>
      <c r="W193" s="38" t="s">
        <v>592</v>
      </c>
      <c r="X193" s="38"/>
      <c r="Y193" s="38"/>
      <c r="Z193" s="38"/>
      <c r="AA193" s="38"/>
      <c r="AB193" s="38"/>
      <c r="AC193" s="38"/>
      <c r="AD193" s="38"/>
      <c r="AE193" s="38"/>
      <c r="AF193" s="38"/>
      <c r="AG193" s="43"/>
      <c r="AH193" s="44"/>
      <c r="AI193" s="45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</row>
    <row r="194" spans="1:86">
      <c r="A194" s="33">
        <v>45633</v>
      </c>
      <c r="B194" s="1" t="s">
        <v>594</v>
      </c>
      <c r="C194" s="1" t="s">
        <v>594</v>
      </c>
      <c r="D194" s="1" t="s">
        <v>595</v>
      </c>
      <c r="E194" s="38" t="s">
        <v>37</v>
      </c>
      <c r="F194" s="38">
        <v>270</v>
      </c>
      <c r="G194" s="38" t="s">
        <v>68</v>
      </c>
      <c r="H194" s="38">
        <v>68.900000000000006</v>
      </c>
      <c r="I194" s="38">
        <v>500</v>
      </c>
      <c r="J194" s="11">
        <f t="shared" si="68"/>
        <v>500</v>
      </c>
      <c r="K194" s="5">
        <f t="shared" ref="K194" si="74">+J194/(F194*H194*10^-5)</f>
        <v>2687.7385367951401</v>
      </c>
      <c r="L194" s="39">
        <v>1</v>
      </c>
      <c r="M194" s="37">
        <f t="shared" si="71"/>
        <v>1</v>
      </c>
      <c r="N194" s="38"/>
      <c r="O194" s="46"/>
      <c r="P194" s="42">
        <f t="shared" si="66"/>
        <v>500</v>
      </c>
      <c r="Q194" s="38"/>
      <c r="R194" s="38"/>
      <c r="S194" s="38"/>
      <c r="T194" s="38"/>
      <c r="U194" s="37">
        <f t="shared" si="73"/>
        <v>1</v>
      </c>
      <c r="V194" s="38">
        <v>4</v>
      </c>
      <c r="W194" s="38" t="s">
        <v>596</v>
      </c>
      <c r="X194" s="38"/>
      <c r="Y194" s="38"/>
      <c r="Z194" s="38"/>
      <c r="AA194" s="38"/>
      <c r="AB194" s="38"/>
      <c r="AC194" s="38"/>
      <c r="AD194" s="38"/>
      <c r="AE194" s="38"/>
      <c r="AF194" s="38"/>
      <c r="AG194" s="43"/>
      <c r="AH194" s="44"/>
      <c r="AI194" s="45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</row>
    <row r="195" spans="1:86">
      <c r="A195" s="33">
        <v>45470</v>
      </c>
      <c r="B195" s="1" t="s">
        <v>597</v>
      </c>
      <c r="C195" s="1" t="s">
        <v>597</v>
      </c>
      <c r="D195" s="1"/>
      <c r="E195" s="38" t="s">
        <v>272</v>
      </c>
      <c r="F195" s="38">
        <v>140</v>
      </c>
      <c r="G195" s="38" t="s">
        <v>598</v>
      </c>
      <c r="H195" s="38">
        <v>74.5</v>
      </c>
      <c r="I195" s="38">
        <v>130</v>
      </c>
      <c r="J195" s="11">
        <f t="shared" si="68"/>
        <v>130</v>
      </c>
      <c r="K195" s="5">
        <f t="shared" ref="K195:K226" si="75">+J195/(F195*H195*10^-5)</f>
        <v>1246.4046021093</v>
      </c>
      <c r="L195" s="39">
        <v>2</v>
      </c>
      <c r="M195" s="37">
        <f t="shared" si="71"/>
        <v>2</v>
      </c>
      <c r="N195" s="38"/>
      <c r="O195" s="46"/>
      <c r="P195" s="42">
        <f t="shared" ref="P195:P245" si="76">+J195-O195</f>
        <v>130</v>
      </c>
      <c r="Q195" s="38" t="s">
        <v>485</v>
      </c>
      <c r="R195" s="38"/>
      <c r="S195" s="38"/>
      <c r="T195" s="38" t="s">
        <v>599</v>
      </c>
      <c r="U195" s="37">
        <f t="shared" si="73"/>
        <v>2</v>
      </c>
      <c r="V195" s="38">
        <v>3</v>
      </c>
      <c r="W195" s="38">
        <v>1</v>
      </c>
      <c r="X195" s="38"/>
      <c r="Y195" s="38"/>
      <c r="Z195" s="38"/>
      <c r="AA195" s="38"/>
      <c r="AB195" s="38"/>
      <c r="AC195" s="38"/>
      <c r="AD195" s="38"/>
      <c r="AE195" s="38"/>
      <c r="AF195" s="38"/>
      <c r="AG195" s="43"/>
      <c r="AH195" s="44"/>
      <c r="AI195" s="45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</row>
    <row r="196" spans="1:86">
      <c r="A196" s="33">
        <v>45739</v>
      </c>
      <c r="B196" s="1"/>
      <c r="C196" s="1"/>
      <c r="D196" s="1"/>
      <c r="E196" s="38" t="s">
        <v>600</v>
      </c>
      <c r="F196" s="38">
        <v>90</v>
      </c>
      <c r="G196" s="38" t="s">
        <v>601</v>
      </c>
      <c r="H196" s="38">
        <v>59</v>
      </c>
      <c r="I196" s="38">
        <v>404</v>
      </c>
      <c r="J196" s="11">
        <f t="shared" si="68"/>
        <v>404</v>
      </c>
      <c r="K196" s="5">
        <f t="shared" si="75"/>
        <v>7608.2862523540489</v>
      </c>
      <c r="L196" s="39">
        <v>1</v>
      </c>
      <c r="M196" s="37">
        <f t="shared" si="71"/>
        <v>1</v>
      </c>
      <c r="N196" s="38"/>
      <c r="O196" s="46"/>
      <c r="P196" s="42">
        <f t="shared" si="76"/>
        <v>404</v>
      </c>
      <c r="Q196" s="38" t="s">
        <v>449</v>
      </c>
      <c r="R196" s="38"/>
      <c r="S196" s="38"/>
      <c r="T196" s="38"/>
      <c r="U196" s="37">
        <f t="shared" si="73"/>
        <v>1</v>
      </c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43"/>
      <c r="AH196" s="44"/>
      <c r="AI196" s="45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</row>
    <row r="197" spans="1:86">
      <c r="A197" s="33">
        <v>45798</v>
      </c>
      <c r="B197" s="1"/>
      <c r="C197" s="1"/>
      <c r="D197" s="1" t="s">
        <v>602</v>
      </c>
      <c r="E197" s="38" t="s">
        <v>83</v>
      </c>
      <c r="F197" s="38">
        <v>45</v>
      </c>
      <c r="G197" s="38" t="s">
        <v>287</v>
      </c>
      <c r="H197" s="38">
        <v>52</v>
      </c>
      <c r="I197" s="38">
        <v>698</v>
      </c>
      <c r="J197" s="11">
        <f t="shared" ref="J197:J228" si="77">IFERROR(IF(AND(V197=3,U197&gt;0),I197,I197*U197),"Verify")</f>
        <v>698</v>
      </c>
      <c r="K197" s="5">
        <f t="shared" si="75"/>
        <v>29829.059829059828</v>
      </c>
      <c r="L197" s="39">
        <v>1</v>
      </c>
      <c r="M197" s="37">
        <f t="shared" si="71"/>
        <v>1</v>
      </c>
      <c r="N197" s="38"/>
      <c r="O197" s="46"/>
      <c r="P197" s="42">
        <f t="shared" si="76"/>
        <v>698</v>
      </c>
      <c r="Q197" s="38"/>
      <c r="R197" s="38"/>
      <c r="S197" s="38"/>
      <c r="T197" s="38" t="s">
        <v>603</v>
      </c>
      <c r="U197" s="37">
        <f t="shared" si="73"/>
        <v>1</v>
      </c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43"/>
      <c r="AH197" s="44"/>
      <c r="AI197" s="45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</row>
    <row r="198" spans="1:86">
      <c r="A198" s="33">
        <v>45798</v>
      </c>
      <c r="B198" s="1" t="s">
        <v>604</v>
      </c>
      <c r="C198" s="1" t="s">
        <v>604</v>
      </c>
      <c r="D198" s="1"/>
      <c r="E198" s="38" t="s">
        <v>83</v>
      </c>
      <c r="F198" s="38">
        <v>50</v>
      </c>
      <c r="G198" s="38" t="s">
        <v>287</v>
      </c>
      <c r="H198" s="38">
        <v>119</v>
      </c>
      <c r="I198" s="38">
        <v>1005</v>
      </c>
      <c r="J198" s="11">
        <f t="shared" si="77"/>
        <v>1005</v>
      </c>
      <c r="K198" s="5">
        <f t="shared" si="75"/>
        <v>16890.756302521007</v>
      </c>
      <c r="L198" s="39">
        <v>1</v>
      </c>
      <c r="M198" s="37">
        <f t="shared" si="71"/>
        <v>1</v>
      </c>
      <c r="N198" s="38"/>
      <c r="O198" s="46"/>
      <c r="P198" s="42">
        <f t="shared" si="76"/>
        <v>1005</v>
      </c>
      <c r="Q198" s="38"/>
      <c r="R198" s="38"/>
      <c r="S198" s="38"/>
      <c r="T198" s="38" t="s">
        <v>605</v>
      </c>
      <c r="U198" s="37">
        <f t="shared" si="73"/>
        <v>1</v>
      </c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43"/>
      <c r="AH198" s="44"/>
      <c r="AI198" s="45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</row>
    <row r="199" spans="1:86">
      <c r="A199" s="33">
        <v>45798</v>
      </c>
      <c r="B199" s="1"/>
      <c r="C199" s="1"/>
      <c r="D199" s="1"/>
      <c r="E199" s="38" t="s">
        <v>83</v>
      </c>
      <c r="F199" s="38">
        <v>50</v>
      </c>
      <c r="G199" s="38" t="s">
        <v>287</v>
      </c>
      <c r="H199" s="38">
        <v>76</v>
      </c>
      <c r="I199" s="38">
        <v>615</v>
      </c>
      <c r="J199" s="11">
        <f t="shared" si="77"/>
        <v>615</v>
      </c>
      <c r="K199" s="5">
        <f t="shared" si="75"/>
        <v>16184.210526315786</v>
      </c>
      <c r="L199" s="39">
        <v>1</v>
      </c>
      <c r="M199" s="37">
        <f t="shared" si="71"/>
        <v>1</v>
      </c>
      <c r="N199" s="38"/>
      <c r="O199" s="46"/>
      <c r="P199" s="42">
        <f t="shared" si="76"/>
        <v>615</v>
      </c>
      <c r="Q199" s="38"/>
      <c r="R199" s="38"/>
      <c r="S199" s="38"/>
      <c r="T199" s="38" t="s">
        <v>606</v>
      </c>
      <c r="U199" s="37">
        <f t="shared" si="73"/>
        <v>1</v>
      </c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43"/>
      <c r="AH199" s="44"/>
      <c r="AI199" s="45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</row>
    <row r="200" spans="1:86">
      <c r="A200" s="33">
        <v>45798</v>
      </c>
      <c r="B200" s="1"/>
      <c r="C200" s="1"/>
      <c r="D200" s="1"/>
      <c r="E200" s="38" t="s">
        <v>83</v>
      </c>
      <c r="F200" s="38">
        <v>50</v>
      </c>
      <c r="G200" s="38" t="s">
        <v>287</v>
      </c>
      <c r="H200" s="38">
        <v>76</v>
      </c>
      <c r="I200" s="38">
        <v>615</v>
      </c>
      <c r="J200" s="11">
        <f t="shared" si="77"/>
        <v>615</v>
      </c>
      <c r="K200" s="5">
        <f t="shared" si="75"/>
        <v>16184.210526315786</v>
      </c>
      <c r="L200" s="39">
        <v>1</v>
      </c>
      <c r="M200" s="37">
        <f t="shared" si="71"/>
        <v>1</v>
      </c>
      <c r="N200" s="38"/>
      <c r="O200" s="46"/>
      <c r="P200" s="42">
        <f t="shared" si="76"/>
        <v>615</v>
      </c>
      <c r="Q200" s="38"/>
      <c r="R200" s="38"/>
      <c r="S200" s="38"/>
      <c r="T200" s="38" t="s">
        <v>607</v>
      </c>
      <c r="U200" s="37">
        <f t="shared" si="73"/>
        <v>1</v>
      </c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43"/>
      <c r="AH200" s="44"/>
      <c r="AI200" s="45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</row>
    <row r="201" spans="1:86">
      <c r="A201" s="33">
        <v>45798</v>
      </c>
      <c r="B201" s="1"/>
      <c r="C201" s="1"/>
      <c r="D201" s="1"/>
      <c r="E201" s="38" t="s">
        <v>83</v>
      </c>
      <c r="F201" s="38">
        <v>45</v>
      </c>
      <c r="G201" s="38" t="s">
        <v>287</v>
      </c>
      <c r="H201" s="38">
        <v>100</v>
      </c>
      <c r="I201" s="38">
        <v>711</v>
      </c>
      <c r="J201" s="11">
        <f t="shared" si="77"/>
        <v>711</v>
      </c>
      <c r="K201" s="5">
        <f t="shared" si="75"/>
        <v>15799.999999999998</v>
      </c>
      <c r="L201" s="39">
        <v>1</v>
      </c>
      <c r="M201" s="37">
        <f t="shared" si="71"/>
        <v>1</v>
      </c>
      <c r="N201" s="38"/>
      <c r="O201" s="46"/>
      <c r="P201" s="42">
        <f t="shared" si="76"/>
        <v>711</v>
      </c>
      <c r="Q201" s="38" t="s">
        <v>608</v>
      </c>
      <c r="R201" s="38"/>
      <c r="S201" s="38"/>
      <c r="T201" s="38" t="s">
        <v>609</v>
      </c>
      <c r="U201" s="37">
        <f t="shared" si="73"/>
        <v>1</v>
      </c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43"/>
      <c r="AH201" s="44"/>
      <c r="AI201" s="45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</row>
    <row r="202" spans="1:86">
      <c r="A202" s="33">
        <v>45798</v>
      </c>
      <c r="B202" s="1"/>
      <c r="C202" s="1"/>
      <c r="D202" s="1"/>
      <c r="E202" s="38" t="s">
        <v>83</v>
      </c>
      <c r="F202" s="38">
        <v>50</v>
      </c>
      <c r="G202" s="38" t="s">
        <v>287</v>
      </c>
      <c r="H202" s="38">
        <v>112</v>
      </c>
      <c r="I202" s="38">
        <v>979</v>
      </c>
      <c r="J202" s="11">
        <f t="shared" si="77"/>
        <v>979</v>
      </c>
      <c r="K202" s="5">
        <f t="shared" si="75"/>
        <v>17482.142857142855</v>
      </c>
      <c r="L202" s="39">
        <v>1</v>
      </c>
      <c r="M202" s="37">
        <f t="shared" si="71"/>
        <v>1</v>
      </c>
      <c r="N202" s="38"/>
      <c r="O202" s="46"/>
      <c r="P202" s="42">
        <f t="shared" si="76"/>
        <v>979</v>
      </c>
      <c r="Q202" s="38"/>
      <c r="R202" s="38"/>
      <c r="S202" s="38"/>
      <c r="T202" s="38" t="s">
        <v>610</v>
      </c>
      <c r="U202" s="37">
        <f t="shared" si="73"/>
        <v>1</v>
      </c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43"/>
      <c r="AH202" s="44"/>
      <c r="AI202" s="45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</row>
    <row r="203" spans="1:86">
      <c r="A203" s="33">
        <v>45798</v>
      </c>
      <c r="B203" s="1"/>
      <c r="C203" s="1"/>
      <c r="D203" s="1" t="s">
        <v>602</v>
      </c>
      <c r="E203" s="38" t="s">
        <v>83</v>
      </c>
      <c r="F203" s="38">
        <v>50</v>
      </c>
      <c r="G203" s="38" t="s">
        <v>287</v>
      </c>
      <c r="H203" s="38">
        <v>76</v>
      </c>
      <c r="I203" s="38">
        <v>490</v>
      </c>
      <c r="J203" s="11">
        <f t="shared" si="77"/>
        <v>490</v>
      </c>
      <c r="K203" s="5">
        <f t="shared" si="75"/>
        <v>12894.736842105262</v>
      </c>
      <c r="L203" s="39">
        <v>1</v>
      </c>
      <c r="M203" s="37">
        <f t="shared" si="71"/>
        <v>1</v>
      </c>
      <c r="N203" s="38"/>
      <c r="O203" s="46"/>
      <c r="P203" s="42">
        <f t="shared" si="76"/>
        <v>490</v>
      </c>
      <c r="Q203" s="38"/>
      <c r="R203" s="38"/>
      <c r="S203" s="38"/>
      <c r="T203" s="38" t="s">
        <v>611</v>
      </c>
      <c r="U203" s="37">
        <f t="shared" si="73"/>
        <v>1</v>
      </c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43"/>
      <c r="AH203" s="44"/>
      <c r="AI203" s="45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</row>
    <row r="204" spans="1:86">
      <c r="A204" s="33">
        <v>45798</v>
      </c>
      <c r="B204" s="1"/>
      <c r="C204" s="1"/>
      <c r="D204" s="1" t="s">
        <v>602</v>
      </c>
      <c r="E204" s="38" t="s">
        <v>83</v>
      </c>
      <c r="F204" s="38">
        <v>50</v>
      </c>
      <c r="G204" s="38" t="s">
        <v>287</v>
      </c>
      <c r="H204" s="38">
        <v>76</v>
      </c>
      <c r="I204" s="38">
        <f>967/2</f>
        <v>483.5</v>
      </c>
      <c r="J204" s="11">
        <f t="shared" si="77"/>
        <v>483.5</v>
      </c>
      <c r="K204" s="5">
        <f t="shared" si="75"/>
        <v>12723.684210526313</v>
      </c>
      <c r="L204" s="39">
        <v>1</v>
      </c>
      <c r="M204" s="37">
        <f t="shared" si="71"/>
        <v>1</v>
      </c>
      <c r="N204" s="38"/>
      <c r="O204" s="46"/>
      <c r="P204" s="42">
        <f t="shared" si="76"/>
        <v>483.5</v>
      </c>
      <c r="Q204" s="38"/>
      <c r="R204" s="38"/>
      <c r="S204" s="38"/>
      <c r="T204" s="38" t="s">
        <v>612</v>
      </c>
      <c r="U204" s="37">
        <f t="shared" si="73"/>
        <v>1</v>
      </c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43"/>
      <c r="AH204" s="44"/>
      <c r="AI204" s="45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</row>
    <row r="205" spans="1:86">
      <c r="A205" s="33">
        <v>45798</v>
      </c>
      <c r="B205" s="1"/>
      <c r="C205" s="1"/>
      <c r="D205" s="1" t="s">
        <v>602</v>
      </c>
      <c r="E205" s="38" t="s">
        <v>83</v>
      </c>
      <c r="F205" s="38">
        <v>50</v>
      </c>
      <c r="G205" s="38" t="s">
        <v>287</v>
      </c>
      <c r="H205" s="38">
        <v>76</v>
      </c>
      <c r="I205" s="38">
        <v>483</v>
      </c>
      <c r="J205" s="11">
        <f t="shared" si="77"/>
        <v>483</v>
      </c>
      <c r="K205" s="5">
        <f t="shared" si="75"/>
        <v>12710.526315789471</v>
      </c>
      <c r="L205" s="39">
        <v>1</v>
      </c>
      <c r="M205" s="37">
        <f t="shared" si="71"/>
        <v>1</v>
      </c>
      <c r="N205" s="38"/>
      <c r="O205" s="46"/>
      <c r="P205" s="42">
        <f t="shared" si="76"/>
        <v>483</v>
      </c>
      <c r="Q205" s="38"/>
      <c r="R205" s="38"/>
      <c r="S205" s="38"/>
      <c r="T205" s="38" t="s">
        <v>612</v>
      </c>
      <c r="U205" s="37">
        <f t="shared" si="73"/>
        <v>1</v>
      </c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43"/>
      <c r="AH205" s="44"/>
      <c r="AI205" s="45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</row>
    <row r="206" spans="1:86">
      <c r="A206" s="33">
        <v>45798</v>
      </c>
      <c r="B206" s="1"/>
      <c r="C206" s="1"/>
      <c r="D206" s="1"/>
      <c r="E206" s="38" t="s">
        <v>83</v>
      </c>
      <c r="F206" s="38">
        <v>60</v>
      </c>
      <c r="G206" s="38" t="s">
        <v>287</v>
      </c>
      <c r="H206" s="38">
        <v>54</v>
      </c>
      <c r="I206" s="38">
        <v>370</v>
      </c>
      <c r="J206" s="11">
        <f t="shared" si="77"/>
        <v>370</v>
      </c>
      <c r="K206" s="5">
        <f t="shared" si="75"/>
        <v>11419.753086419751</v>
      </c>
      <c r="L206" s="39">
        <v>1</v>
      </c>
      <c r="M206" s="37">
        <f t="shared" si="71"/>
        <v>1</v>
      </c>
      <c r="N206" s="38"/>
      <c r="O206" s="46"/>
      <c r="P206" s="42">
        <f t="shared" si="76"/>
        <v>370</v>
      </c>
      <c r="Q206" s="38"/>
      <c r="R206" s="38"/>
      <c r="S206" s="38"/>
      <c r="T206" s="38" t="s">
        <v>613</v>
      </c>
      <c r="U206" s="37">
        <f t="shared" si="73"/>
        <v>1</v>
      </c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43"/>
      <c r="AH206" s="44"/>
      <c r="AI206" s="45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  <c r="BW206" s="38"/>
      <c r="BX206" s="38"/>
      <c r="BY206" s="38"/>
      <c r="BZ206" s="38"/>
      <c r="CA206" s="38"/>
      <c r="CB206" s="38"/>
      <c r="CC206" s="38"/>
      <c r="CD206" s="38"/>
      <c r="CE206" s="38"/>
      <c r="CF206" s="38"/>
      <c r="CG206" s="38"/>
      <c r="CH206" s="38"/>
    </row>
    <row r="207" spans="1:86">
      <c r="A207" s="33">
        <v>45798</v>
      </c>
      <c r="B207" s="1"/>
      <c r="C207" s="1"/>
      <c r="D207" s="1"/>
      <c r="E207" s="38" t="s">
        <v>83</v>
      </c>
      <c r="F207" s="38">
        <v>45</v>
      </c>
      <c r="G207" s="38" t="s">
        <v>287</v>
      </c>
      <c r="H207" s="38">
        <v>150</v>
      </c>
      <c r="I207" s="38">
        <v>1465</v>
      </c>
      <c r="J207" s="11">
        <f t="shared" si="77"/>
        <v>1465</v>
      </c>
      <c r="K207" s="5">
        <f t="shared" si="75"/>
        <v>21703.703703703701</v>
      </c>
      <c r="L207" s="39">
        <v>1</v>
      </c>
      <c r="M207" s="37">
        <f t="shared" si="71"/>
        <v>1</v>
      </c>
      <c r="N207" s="38"/>
      <c r="O207" s="46"/>
      <c r="P207" s="42">
        <f t="shared" si="76"/>
        <v>1465</v>
      </c>
      <c r="Q207" s="38" t="s">
        <v>608</v>
      </c>
      <c r="R207" s="38"/>
      <c r="S207" s="38"/>
      <c r="T207" s="38" t="s">
        <v>614</v>
      </c>
      <c r="U207" s="37">
        <f t="shared" si="73"/>
        <v>1</v>
      </c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43"/>
      <c r="AH207" s="44"/>
      <c r="AI207" s="45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  <c r="BZ207" s="38"/>
      <c r="CA207" s="38"/>
      <c r="CB207" s="38"/>
      <c r="CC207" s="38"/>
      <c r="CD207" s="38"/>
      <c r="CE207" s="38"/>
      <c r="CF207" s="38"/>
      <c r="CG207" s="38"/>
      <c r="CH207" s="38"/>
    </row>
    <row r="208" spans="1:86">
      <c r="A208" s="33">
        <v>45798</v>
      </c>
      <c r="B208" s="1"/>
      <c r="C208" s="1" t="s">
        <v>615</v>
      </c>
      <c r="D208" s="1">
        <v>0.6</v>
      </c>
      <c r="E208" s="38" t="s">
        <v>83</v>
      </c>
      <c r="F208" s="38">
        <v>60</v>
      </c>
      <c r="G208" s="38" t="s">
        <v>287</v>
      </c>
      <c r="H208" s="38">
        <v>186</v>
      </c>
      <c r="I208" s="38">
        <v>1515</v>
      </c>
      <c r="J208" s="11">
        <f t="shared" si="77"/>
        <v>1515</v>
      </c>
      <c r="K208" s="5">
        <f t="shared" si="75"/>
        <v>13575.2688172043</v>
      </c>
      <c r="L208" s="39">
        <v>1</v>
      </c>
      <c r="M208" s="37">
        <f t="shared" si="71"/>
        <v>1</v>
      </c>
      <c r="N208" s="38"/>
      <c r="O208" s="46"/>
      <c r="P208" s="42">
        <f t="shared" si="76"/>
        <v>1515</v>
      </c>
      <c r="Q208" s="38"/>
      <c r="R208" s="38"/>
      <c r="S208" s="38">
        <v>0.6</v>
      </c>
      <c r="T208" s="38" t="s">
        <v>616</v>
      </c>
      <c r="U208" s="37">
        <f t="shared" si="73"/>
        <v>1</v>
      </c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43"/>
      <c r="AH208" s="44"/>
      <c r="AI208" s="45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38"/>
      <c r="CC208" s="38"/>
      <c r="CD208" s="38"/>
      <c r="CE208" s="38"/>
      <c r="CF208" s="38"/>
      <c r="CG208" s="38"/>
      <c r="CH208" s="38"/>
    </row>
    <row r="209" spans="1:86">
      <c r="A209" s="33">
        <v>45798</v>
      </c>
      <c r="B209" s="1"/>
      <c r="C209" s="1"/>
      <c r="D209" s="1">
        <v>0.6</v>
      </c>
      <c r="E209" s="38" t="s">
        <v>83</v>
      </c>
      <c r="F209" s="38">
        <v>60</v>
      </c>
      <c r="G209" s="38" t="s">
        <v>287</v>
      </c>
      <c r="H209" s="38">
        <v>127</v>
      </c>
      <c r="I209" s="38">
        <v>713</v>
      </c>
      <c r="J209" s="11">
        <f t="shared" si="77"/>
        <v>713</v>
      </c>
      <c r="K209" s="5">
        <f t="shared" si="75"/>
        <v>9356.9553805774267</v>
      </c>
      <c r="L209" s="39">
        <v>1</v>
      </c>
      <c r="M209" s="37">
        <f t="shared" si="71"/>
        <v>1</v>
      </c>
      <c r="N209" s="38"/>
      <c r="O209" s="46"/>
      <c r="P209" s="42">
        <f t="shared" si="76"/>
        <v>713</v>
      </c>
      <c r="Q209" s="38"/>
      <c r="R209" s="38"/>
      <c r="S209" s="38">
        <v>0.6</v>
      </c>
      <c r="T209" s="38" t="s">
        <v>617</v>
      </c>
      <c r="U209" s="37">
        <f t="shared" si="73"/>
        <v>1</v>
      </c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43"/>
      <c r="AH209" s="44"/>
      <c r="AI209" s="45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  <c r="BZ209" s="38"/>
      <c r="CA209" s="38"/>
      <c r="CB209" s="38"/>
      <c r="CC209" s="38"/>
      <c r="CD209" s="38"/>
      <c r="CE209" s="38"/>
      <c r="CF209" s="38"/>
      <c r="CG209" s="38"/>
      <c r="CH209" s="38"/>
    </row>
    <row r="210" spans="1:86">
      <c r="A210" s="33">
        <v>45798</v>
      </c>
      <c r="B210" s="1"/>
      <c r="C210" s="1">
        <f>127-74</f>
        <v>53</v>
      </c>
      <c r="D210" s="1"/>
      <c r="E210" s="38" t="s">
        <v>83</v>
      </c>
      <c r="F210" s="38">
        <v>55</v>
      </c>
      <c r="G210" s="38" t="s">
        <v>287</v>
      </c>
      <c r="H210" s="38">
        <v>127</v>
      </c>
      <c r="I210" s="38">
        <v>730</v>
      </c>
      <c r="J210" s="11">
        <f t="shared" si="77"/>
        <v>730</v>
      </c>
      <c r="K210" s="5">
        <f t="shared" si="75"/>
        <v>10450.966356478166</v>
      </c>
      <c r="L210" s="39">
        <v>1</v>
      </c>
      <c r="M210" s="37">
        <f t="shared" si="71"/>
        <v>1</v>
      </c>
      <c r="N210" s="38"/>
      <c r="O210" s="46"/>
      <c r="P210" s="42">
        <f t="shared" si="76"/>
        <v>730</v>
      </c>
      <c r="Q210" s="38"/>
      <c r="R210" s="38"/>
      <c r="S210" s="38"/>
      <c r="T210" s="38" t="s">
        <v>618</v>
      </c>
      <c r="U210" s="37">
        <f t="shared" si="73"/>
        <v>1</v>
      </c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43"/>
      <c r="AH210" s="44"/>
      <c r="AI210" s="45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38"/>
      <c r="CC210" s="38"/>
      <c r="CD210" s="38"/>
      <c r="CE210" s="38"/>
      <c r="CF210" s="38"/>
      <c r="CG210" s="38"/>
      <c r="CH210" s="38"/>
    </row>
    <row r="211" spans="1:86">
      <c r="A211" s="33">
        <v>45798</v>
      </c>
      <c r="B211" s="1"/>
      <c r="C211" s="1"/>
      <c r="D211" s="1">
        <v>0.6</v>
      </c>
      <c r="E211" s="38" t="s">
        <v>83</v>
      </c>
      <c r="F211" s="38">
        <v>60</v>
      </c>
      <c r="G211" s="38" t="s">
        <v>287</v>
      </c>
      <c r="H211" s="38">
        <v>127</v>
      </c>
      <c r="I211" s="38">
        <v>873</v>
      </c>
      <c r="J211" s="11">
        <f t="shared" si="77"/>
        <v>873</v>
      </c>
      <c r="K211" s="5">
        <f t="shared" si="75"/>
        <v>11456.692913385827</v>
      </c>
      <c r="L211" s="39">
        <v>1</v>
      </c>
      <c r="M211" s="37">
        <f t="shared" si="71"/>
        <v>1</v>
      </c>
      <c r="N211" s="38"/>
      <c r="O211" s="46"/>
      <c r="P211" s="42">
        <f t="shared" si="76"/>
        <v>873</v>
      </c>
      <c r="Q211" s="38"/>
      <c r="R211" s="38"/>
      <c r="S211" s="38">
        <v>0.6</v>
      </c>
      <c r="T211" s="38" t="s">
        <v>619</v>
      </c>
      <c r="U211" s="37">
        <f t="shared" si="73"/>
        <v>1</v>
      </c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43"/>
      <c r="AH211" s="44"/>
      <c r="AI211" s="45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  <c r="BZ211" s="38"/>
      <c r="CA211" s="38"/>
      <c r="CB211" s="38"/>
      <c r="CC211" s="38"/>
      <c r="CD211" s="38"/>
      <c r="CE211" s="38"/>
      <c r="CF211" s="38"/>
      <c r="CG211" s="38"/>
      <c r="CH211" s="38"/>
    </row>
    <row r="212" spans="1:86">
      <c r="A212" s="33">
        <v>45798</v>
      </c>
      <c r="B212" s="1"/>
      <c r="C212" s="1"/>
      <c r="D212" s="1"/>
      <c r="E212" s="38" t="s">
        <v>83</v>
      </c>
      <c r="F212" s="38">
        <v>64</v>
      </c>
      <c r="G212" s="38" t="s">
        <v>287</v>
      </c>
      <c r="H212" s="38">
        <v>133</v>
      </c>
      <c r="I212" s="38">
        <v>613</v>
      </c>
      <c r="J212" s="11">
        <f t="shared" si="77"/>
        <v>613</v>
      </c>
      <c r="K212" s="5">
        <f t="shared" si="75"/>
        <v>7201.5977443609017</v>
      </c>
      <c r="L212" s="39">
        <v>1</v>
      </c>
      <c r="M212" s="37">
        <f t="shared" si="71"/>
        <v>1</v>
      </c>
      <c r="N212" s="38"/>
      <c r="O212" s="46"/>
      <c r="P212" s="42">
        <f t="shared" si="76"/>
        <v>613</v>
      </c>
      <c r="Q212" s="38"/>
      <c r="R212" s="38"/>
      <c r="S212" s="38"/>
      <c r="T212" s="38" t="s">
        <v>620</v>
      </c>
      <c r="U212" s="37">
        <f t="shared" si="73"/>
        <v>1</v>
      </c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43"/>
      <c r="AH212" s="44"/>
      <c r="AI212" s="45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  <c r="BW212" s="38"/>
      <c r="BX212" s="38"/>
      <c r="BY212" s="38"/>
      <c r="BZ212" s="38"/>
      <c r="CA212" s="38"/>
      <c r="CB212" s="38"/>
      <c r="CC212" s="38"/>
      <c r="CD212" s="38"/>
      <c r="CE212" s="38"/>
      <c r="CF212" s="38"/>
      <c r="CG212" s="38"/>
      <c r="CH212" s="38"/>
    </row>
    <row r="213" spans="1:86">
      <c r="A213" s="33">
        <v>45481</v>
      </c>
      <c r="B213" s="1" t="s">
        <v>621</v>
      </c>
      <c r="C213" s="1" t="s">
        <v>622</v>
      </c>
      <c r="D213" s="1" t="s">
        <v>456</v>
      </c>
      <c r="E213" s="38" t="s">
        <v>37</v>
      </c>
      <c r="F213" s="38">
        <v>500</v>
      </c>
      <c r="G213" s="38" t="s">
        <v>623</v>
      </c>
      <c r="H213" s="38">
        <v>47.3</v>
      </c>
      <c r="I213" s="38">
        <v>628</v>
      </c>
      <c r="J213" s="11">
        <f t="shared" si="77"/>
        <v>628</v>
      </c>
      <c r="K213" s="5">
        <f t="shared" si="75"/>
        <v>2655.3911205073996</v>
      </c>
      <c r="L213" s="39">
        <v>1</v>
      </c>
      <c r="M213" s="37">
        <f t="shared" si="71"/>
        <v>1</v>
      </c>
      <c r="N213" s="38"/>
      <c r="O213" s="46"/>
      <c r="P213" s="42">
        <f t="shared" si="76"/>
        <v>628</v>
      </c>
      <c r="Q213" s="38"/>
      <c r="R213" s="38"/>
      <c r="S213" s="38"/>
      <c r="T213" s="38"/>
      <c r="U213" s="37">
        <f t="shared" si="73"/>
        <v>1</v>
      </c>
      <c r="V213" s="38">
        <v>4</v>
      </c>
      <c r="W213" s="38" t="s">
        <v>576</v>
      </c>
      <c r="X213" s="38"/>
      <c r="Y213" s="38"/>
      <c r="Z213" s="38"/>
      <c r="AA213" s="38"/>
      <c r="AB213" s="38"/>
      <c r="AC213" s="38"/>
      <c r="AD213" s="38"/>
      <c r="AE213" s="38"/>
      <c r="AF213" s="38"/>
      <c r="AG213" s="43"/>
      <c r="AH213" s="44"/>
      <c r="AI213" s="45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38"/>
      <c r="CC213" s="38"/>
      <c r="CD213" s="38"/>
      <c r="CE213" s="38"/>
      <c r="CF213" s="38"/>
      <c r="CG213" s="38"/>
      <c r="CH213" s="38"/>
    </row>
    <row r="214" spans="1:86">
      <c r="A214" s="33">
        <v>45481</v>
      </c>
      <c r="B214" s="1" t="s">
        <v>621</v>
      </c>
      <c r="C214" s="1" t="s">
        <v>622</v>
      </c>
      <c r="D214" s="1" t="s">
        <v>456</v>
      </c>
      <c r="E214" s="38" t="s">
        <v>37</v>
      </c>
      <c r="F214" s="38">
        <v>500</v>
      </c>
      <c r="G214" s="38" t="s">
        <v>623</v>
      </c>
      <c r="H214" s="38">
        <v>47.3</v>
      </c>
      <c r="I214" s="38">
        <v>620</v>
      </c>
      <c r="J214" s="11">
        <f t="shared" si="77"/>
        <v>620</v>
      </c>
      <c r="K214" s="5">
        <f t="shared" si="75"/>
        <v>2621.5644820295979</v>
      </c>
      <c r="L214" s="39">
        <v>1</v>
      </c>
      <c r="M214" s="37">
        <f t="shared" si="71"/>
        <v>1</v>
      </c>
      <c r="N214" s="38"/>
      <c r="O214" s="46"/>
      <c r="P214" s="42">
        <f t="shared" si="76"/>
        <v>620</v>
      </c>
      <c r="Q214" s="38"/>
      <c r="R214" s="38"/>
      <c r="S214" s="38"/>
      <c r="T214" s="38"/>
      <c r="U214" s="37">
        <f t="shared" si="73"/>
        <v>1</v>
      </c>
      <c r="V214" s="38">
        <v>4</v>
      </c>
      <c r="W214" s="38" t="s">
        <v>576</v>
      </c>
      <c r="X214" s="38"/>
      <c r="Y214" s="38"/>
      <c r="Z214" s="38"/>
      <c r="AA214" s="38"/>
      <c r="AB214" s="38"/>
      <c r="AC214" s="38"/>
      <c r="AD214" s="38"/>
      <c r="AE214" s="38"/>
      <c r="AF214" s="38"/>
      <c r="AG214" s="43"/>
      <c r="AH214" s="44"/>
      <c r="AI214" s="45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38"/>
      <c r="CC214" s="38"/>
      <c r="CD214" s="38"/>
      <c r="CE214" s="38"/>
      <c r="CF214" s="38"/>
      <c r="CG214" s="38"/>
      <c r="CH214" s="38"/>
    </row>
    <row r="215" spans="1:86">
      <c r="A215" s="33">
        <v>45481</v>
      </c>
      <c r="B215" s="1" t="s">
        <v>621</v>
      </c>
      <c r="C215" s="1" t="s">
        <v>622</v>
      </c>
      <c r="D215" s="1" t="s">
        <v>456</v>
      </c>
      <c r="E215" s="38" t="s">
        <v>37</v>
      </c>
      <c r="F215" s="38">
        <v>500</v>
      </c>
      <c r="G215" s="38" t="s">
        <v>623</v>
      </c>
      <c r="H215" s="38">
        <v>47.3</v>
      </c>
      <c r="I215" s="38">
        <v>589</v>
      </c>
      <c r="J215" s="11">
        <f t="shared" si="77"/>
        <v>589</v>
      </c>
      <c r="K215" s="5">
        <f t="shared" si="75"/>
        <v>2490.4862579281184</v>
      </c>
      <c r="L215" s="39">
        <v>1</v>
      </c>
      <c r="M215" s="37">
        <f t="shared" si="71"/>
        <v>1</v>
      </c>
      <c r="N215" s="38"/>
      <c r="O215" s="46"/>
      <c r="P215" s="42">
        <f t="shared" si="76"/>
        <v>589</v>
      </c>
      <c r="Q215" s="38"/>
      <c r="R215" s="38"/>
      <c r="S215" s="38"/>
      <c r="T215" s="38"/>
      <c r="U215" s="37">
        <f t="shared" si="73"/>
        <v>1</v>
      </c>
      <c r="V215" s="38">
        <v>4</v>
      </c>
      <c r="W215" s="38" t="s">
        <v>576</v>
      </c>
      <c r="X215" s="38"/>
      <c r="Y215" s="38"/>
      <c r="Z215" s="38"/>
      <c r="AA215" s="38"/>
      <c r="AB215" s="38"/>
      <c r="AC215" s="38"/>
      <c r="AD215" s="38"/>
      <c r="AE215" s="38"/>
      <c r="AF215" s="38"/>
      <c r="AG215" s="43"/>
      <c r="AH215" s="44"/>
      <c r="AI215" s="45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38"/>
      <c r="CC215" s="38"/>
      <c r="CD215" s="38"/>
      <c r="CE215" s="38"/>
      <c r="CF215" s="38"/>
      <c r="CG215" s="38"/>
      <c r="CH215" s="38"/>
    </row>
    <row r="216" spans="1:86" ht="28.8">
      <c r="A216" s="33">
        <v>45739</v>
      </c>
      <c r="B216" s="1" t="s">
        <v>625</v>
      </c>
      <c r="C216" s="1" t="s">
        <v>626</v>
      </c>
      <c r="D216" s="1" t="s">
        <v>559</v>
      </c>
      <c r="E216" s="38" t="s">
        <v>41</v>
      </c>
      <c r="F216" s="38">
        <v>60</v>
      </c>
      <c r="G216" s="38" t="s">
        <v>627</v>
      </c>
      <c r="H216" s="38">
        <v>75</v>
      </c>
      <c r="I216" s="38">
        <v>350</v>
      </c>
      <c r="J216" s="11">
        <f t="shared" si="77"/>
        <v>350</v>
      </c>
      <c r="K216" s="5">
        <f t="shared" si="75"/>
        <v>7777.7777777777765</v>
      </c>
      <c r="L216" s="39">
        <v>1</v>
      </c>
      <c r="M216" s="37">
        <f t="shared" si="71"/>
        <v>1</v>
      </c>
      <c r="N216" s="38"/>
      <c r="O216" s="46"/>
      <c r="P216" s="42">
        <f t="shared" si="76"/>
        <v>350</v>
      </c>
      <c r="Q216" s="38" t="s">
        <v>449</v>
      </c>
      <c r="R216" s="38"/>
      <c r="S216" s="38"/>
      <c r="T216" s="38"/>
      <c r="U216" s="37">
        <f t="shared" si="73"/>
        <v>1</v>
      </c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43"/>
      <c r="AH216" s="44"/>
      <c r="AI216" s="45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</row>
    <row r="217" spans="1:86">
      <c r="A217" s="33">
        <v>45650</v>
      </c>
      <c r="B217" s="1"/>
      <c r="C217" s="1"/>
      <c r="D217" s="1" t="s">
        <v>628</v>
      </c>
      <c r="E217" s="38" t="s">
        <v>29</v>
      </c>
      <c r="F217" s="38">
        <v>66.3</v>
      </c>
      <c r="G217" s="38" t="s">
        <v>629</v>
      </c>
      <c r="H217" s="38">
        <v>29</v>
      </c>
      <c r="I217" s="38">
        <v>242</v>
      </c>
      <c r="J217" s="11">
        <f t="shared" si="77"/>
        <v>1452</v>
      </c>
      <c r="K217" s="5">
        <f t="shared" si="75"/>
        <v>75518.801685130282</v>
      </c>
      <c r="L217" s="39">
        <v>6</v>
      </c>
      <c r="M217" s="37">
        <f t="shared" si="71"/>
        <v>6</v>
      </c>
      <c r="N217" s="38"/>
      <c r="O217" s="46"/>
      <c r="P217" s="42">
        <f t="shared" si="76"/>
        <v>1452</v>
      </c>
      <c r="Q217" s="38" t="s">
        <v>573</v>
      </c>
      <c r="R217" s="38"/>
      <c r="S217" s="38"/>
      <c r="T217" s="38"/>
      <c r="U217" s="37">
        <f t="shared" si="73"/>
        <v>6</v>
      </c>
      <c r="V217" s="38">
        <v>4</v>
      </c>
      <c r="W217" s="38" t="s">
        <v>630</v>
      </c>
      <c r="X217" s="38"/>
      <c r="Y217" s="38"/>
      <c r="Z217" s="38"/>
      <c r="AA217" s="38"/>
      <c r="AB217" s="38"/>
      <c r="AC217" s="38"/>
      <c r="AD217" s="38"/>
      <c r="AE217" s="38"/>
      <c r="AF217" s="38"/>
      <c r="AG217" s="43"/>
      <c r="AH217" s="44"/>
      <c r="AI217" s="45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</row>
    <row r="218" spans="1:86" ht="28.8">
      <c r="A218" s="33">
        <v>45650</v>
      </c>
      <c r="B218" s="1" t="s">
        <v>631</v>
      </c>
      <c r="C218" s="1" t="s">
        <v>631</v>
      </c>
      <c r="D218" s="1"/>
      <c r="E218" s="38" t="s">
        <v>29</v>
      </c>
      <c r="F218" s="38">
        <v>60</v>
      </c>
      <c r="G218" s="38" t="s">
        <v>629</v>
      </c>
      <c r="H218" s="38">
        <v>36</v>
      </c>
      <c r="I218" s="38">
        <v>179</v>
      </c>
      <c r="J218" s="11">
        <f t="shared" si="77"/>
        <v>358</v>
      </c>
      <c r="K218" s="5">
        <f t="shared" si="75"/>
        <v>16574.074074074073</v>
      </c>
      <c r="L218" s="39">
        <v>2</v>
      </c>
      <c r="M218" s="37">
        <f t="shared" si="71"/>
        <v>2</v>
      </c>
      <c r="N218" s="38"/>
      <c r="O218" s="46"/>
      <c r="P218" s="42">
        <f t="shared" si="76"/>
        <v>358</v>
      </c>
      <c r="Q218" s="38" t="s">
        <v>632</v>
      </c>
      <c r="R218" s="38"/>
      <c r="S218" s="38"/>
      <c r="T218" s="38"/>
      <c r="U218" s="37">
        <f t="shared" si="73"/>
        <v>2</v>
      </c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43"/>
      <c r="AH218" s="44"/>
      <c r="AI218" s="45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</row>
    <row r="219" spans="1:86" ht="28.8">
      <c r="A219" s="33"/>
      <c r="B219" s="1" t="s">
        <v>633</v>
      </c>
      <c r="C219" s="1" t="s">
        <v>633</v>
      </c>
      <c r="D219" s="1"/>
      <c r="E219" s="38" t="s">
        <v>29</v>
      </c>
      <c r="F219" s="38">
        <v>64</v>
      </c>
      <c r="G219" s="38" t="s">
        <v>629</v>
      </c>
      <c r="H219" s="38">
        <v>32</v>
      </c>
      <c r="I219" s="38">
        <v>254</v>
      </c>
      <c r="J219" s="11">
        <f t="shared" si="77"/>
        <v>254</v>
      </c>
      <c r="K219" s="5">
        <f t="shared" si="75"/>
        <v>12402.343749999998</v>
      </c>
      <c r="L219" s="39">
        <v>1</v>
      </c>
      <c r="M219" s="37">
        <f t="shared" ref="M219:M248" si="78">+L219-X219-Z219-AD219-AB219-AF219-AH219-AJ219-AL219-AO219-AQ219-AS219-AU219-AW219-AY219-BA219-BC219-BE219-BG219-BI219-BK219-BM219-BO219-BQ219-BS219-BU219-BW219-BY219-CA219-CC219-CE219-CG219</f>
        <v>1</v>
      </c>
      <c r="N219" s="38"/>
      <c r="O219" s="46"/>
      <c r="P219" s="42">
        <f t="shared" si="76"/>
        <v>254</v>
      </c>
      <c r="Q219" s="38" t="s">
        <v>632</v>
      </c>
      <c r="R219" s="38"/>
      <c r="S219" s="38"/>
      <c r="T219" s="38"/>
      <c r="U219" s="37">
        <f t="shared" si="73"/>
        <v>1</v>
      </c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43"/>
      <c r="AH219" s="44"/>
      <c r="AI219" s="45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</row>
    <row r="220" spans="1:86">
      <c r="A220" s="33">
        <v>45472</v>
      </c>
      <c r="B220" s="1" t="s">
        <v>634</v>
      </c>
      <c r="C220" s="1" t="s">
        <v>634</v>
      </c>
      <c r="D220" s="1"/>
      <c r="E220" s="38" t="s">
        <v>29</v>
      </c>
      <c r="F220" s="38">
        <v>52</v>
      </c>
      <c r="G220" s="38" t="s">
        <v>635</v>
      </c>
      <c r="H220" s="38">
        <v>37.5</v>
      </c>
      <c r="I220" s="38">
        <f>949/4</f>
        <v>237.25</v>
      </c>
      <c r="J220" s="11">
        <f t="shared" si="77"/>
        <v>237.25</v>
      </c>
      <c r="K220" s="5">
        <f t="shared" si="75"/>
        <v>12166.666666666666</v>
      </c>
      <c r="L220" s="39">
        <v>1</v>
      </c>
      <c r="M220" s="37">
        <f t="shared" si="78"/>
        <v>1</v>
      </c>
      <c r="N220" s="38"/>
      <c r="O220" s="46"/>
      <c r="P220" s="42">
        <f t="shared" si="76"/>
        <v>237.25</v>
      </c>
      <c r="Q220" s="38" t="s">
        <v>485</v>
      </c>
      <c r="R220" s="38"/>
      <c r="S220" s="38"/>
      <c r="T220" s="38" t="s">
        <v>636</v>
      </c>
      <c r="U220" s="37">
        <f t="shared" si="73"/>
        <v>1</v>
      </c>
      <c r="V220" s="38">
        <v>4</v>
      </c>
      <c r="W220" s="38" t="s">
        <v>637</v>
      </c>
      <c r="X220" s="38"/>
      <c r="Y220" s="38"/>
      <c r="Z220" s="38"/>
      <c r="AA220" s="38"/>
      <c r="AB220" s="38"/>
      <c r="AC220" s="38"/>
      <c r="AD220" s="38"/>
      <c r="AE220" s="38"/>
      <c r="AF220" s="38"/>
      <c r="AG220" s="43"/>
      <c r="AH220" s="44"/>
      <c r="AI220" s="45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</row>
    <row r="221" spans="1:86">
      <c r="A221" s="33">
        <v>45474</v>
      </c>
      <c r="B221" s="1"/>
      <c r="C221" s="1"/>
      <c r="D221" s="1"/>
      <c r="E221" s="38" t="s">
        <v>29</v>
      </c>
      <c r="F221" s="38">
        <v>54</v>
      </c>
      <c r="G221" s="38" t="s">
        <v>635</v>
      </c>
      <c r="H221" s="38">
        <v>24</v>
      </c>
      <c r="I221" s="38">
        <v>230</v>
      </c>
      <c r="J221" s="11">
        <f t="shared" si="77"/>
        <v>230</v>
      </c>
      <c r="K221" s="5">
        <f t="shared" si="75"/>
        <v>17746.913580246914</v>
      </c>
      <c r="L221" s="39">
        <v>1</v>
      </c>
      <c r="M221" s="37">
        <f t="shared" si="78"/>
        <v>1</v>
      </c>
      <c r="N221" s="38"/>
      <c r="O221" s="46"/>
      <c r="P221" s="42">
        <f t="shared" si="76"/>
        <v>230</v>
      </c>
      <c r="Q221" s="38" t="s">
        <v>485</v>
      </c>
      <c r="R221" s="38"/>
      <c r="S221" s="38"/>
      <c r="T221" s="38"/>
      <c r="U221" s="37">
        <f t="shared" si="73"/>
        <v>1</v>
      </c>
      <c r="V221" s="38">
        <v>3</v>
      </c>
      <c r="W221" s="38" t="s">
        <v>638</v>
      </c>
      <c r="X221" s="38"/>
      <c r="Y221" s="38"/>
      <c r="Z221" s="38"/>
      <c r="AA221" s="38"/>
      <c r="AB221" s="38"/>
      <c r="AC221" s="38"/>
      <c r="AD221" s="38"/>
      <c r="AE221" s="38"/>
      <c r="AF221" s="38"/>
      <c r="AG221" s="43"/>
      <c r="AH221" s="44"/>
      <c r="AI221" s="45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</row>
    <row r="222" spans="1:86">
      <c r="A222" s="33">
        <v>45474</v>
      </c>
      <c r="B222" s="1"/>
      <c r="C222" s="1"/>
      <c r="D222" s="1"/>
      <c r="E222" s="38" t="s">
        <v>29</v>
      </c>
      <c r="F222" s="38">
        <v>45</v>
      </c>
      <c r="G222" s="38" t="s">
        <v>635</v>
      </c>
      <c r="H222" s="38">
        <v>35</v>
      </c>
      <c r="I222" s="38">
        <f>210/2</f>
        <v>105</v>
      </c>
      <c r="J222" s="11">
        <f t="shared" si="77"/>
        <v>105</v>
      </c>
      <c r="K222" s="5">
        <f t="shared" si="75"/>
        <v>6666.666666666667</v>
      </c>
      <c r="L222" s="39">
        <v>1</v>
      </c>
      <c r="M222" s="37">
        <f t="shared" si="78"/>
        <v>1</v>
      </c>
      <c r="N222" s="38"/>
      <c r="O222" s="46"/>
      <c r="P222" s="42">
        <f t="shared" si="76"/>
        <v>105</v>
      </c>
      <c r="Q222" s="38" t="s">
        <v>485</v>
      </c>
      <c r="R222" s="38"/>
      <c r="S222" s="38"/>
      <c r="T222" s="38"/>
      <c r="U222" s="37">
        <f t="shared" si="73"/>
        <v>1</v>
      </c>
      <c r="V222" s="38">
        <v>3</v>
      </c>
      <c r="W222" s="38" t="s">
        <v>638</v>
      </c>
      <c r="X222" s="38"/>
      <c r="Y222" s="38"/>
      <c r="Z222" s="38"/>
      <c r="AA222" s="38"/>
      <c r="AB222" s="38"/>
      <c r="AC222" s="38"/>
      <c r="AD222" s="38"/>
      <c r="AE222" s="38"/>
      <c r="AF222" s="38"/>
      <c r="AG222" s="43"/>
      <c r="AH222" s="44"/>
      <c r="AI222" s="45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</row>
    <row r="223" spans="1:86">
      <c r="A223" s="33">
        <v>45474</v>
      </c>
      <c r="B223" s="1" t="s">
        <v>639</v>
      </c>
      <c r="C223" s="1" t="s">
        <v>639</v>
      </c>
      <c r="D223" s="1"/>
      <c r="E223" s="38" t="s">
        <v>29</v>
      </c>
      <c r="F223" s="38">
        <v>60</v>
      </c>
      <c r="G223" s="38" t="s">
        <v>635</v>
      </c>
      <c r="H223" s="38">
        <v>28</v>
      </c>
      <c r="I223" s="38">
        <v>252</v>
      </c>
      <c r="J223" s="11">
        <f t="shared" si="77"/>
        <v>252</v>
      </c>
      <c r="K223" s="5">
        <f t="shared" si="75"/>
        <v>14999.999999999998</v>
      </c>
      <c r="L223" s="39">
        <v>5</v>
      </c>
      <c r="M223" s="37">
        <f t="shared" si="78"/>
        <v>5</v>
      </c>
      <c r="N223" s="38"/>
      <c r="O223" s="46"/>
      <c r="P223" s="42">
        <f t="shared" si="76"/>
        <v>252</v>
      </c>
      <c r="Q223" s="38" t="s">
        <v>544</v>
      </c>
      <c r="R223" s="38"/>
      <c r="S223" s="38"/>
      <c r="T223" s="38"/>
      <c r="U223" s="37">
        <f t="shared" si="73"/>
        <v>5</v>
      </c>
      <c r="V223" s="38">
        <v>3</v>
      </c>
      <c r="W223" s="38" t="s">
        <v>640</v>
      </c>
      <c r="X223" s="38"/>
      <c r="Y223" s="38"/>
      <c r="Z223" s="38"/>
      <c r="AA223" s="38"/>
      <c r="AB223" s="38"/>
      <c r="AC223" s="38"/>
      <c r="AD223" s="38"/>
      <c r="AE223" s="38"/>
      <c r="AF223" s="38"/>
      <c r="AG223" s="43"/>
      <c r="AH223" s="44"/>
      <c r="AI223" s="45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</row>
    <row r="224" spans="1:86">
      <c r="A224" s="33">
        <v>45647</v>
      </c>
      <c r="B224" s="1" t="s">
        <v>641</v>
      </c>
      <c r="C224" s="1" t="s">
        <v>641</v>
      </c>
      <c r="D224" s="1" t="s">
        <v>642</v>
      </c>
      <c r="E224" s="38" t="s">
        <v>29</v>
      </c>
      <c r="F224" s="38">
        <v>45</v>
      </c>
      <c r="G224" s="38" t="s">
        <v>635</v>
      </c>
      <c r="H224" s="38">
        <v>82</v>
      </c>
      <c r="I224" s="38">
        <v>843.6</v>
      </c>
      <c r="J224" s="11">
        <f t="shared" si="77"/>
        <v>14341.2</v>
      </c>
      <c r="K224" s="5">
        <f t="shared" si="75"/>
        <v>388650.40650406503</v>
      </c>
      <c r="L224" s="39">
        <v>17</v>
      </c>
      <c r="M224" s="37">
        <f t="shared" si="78"/>
        <v>17</v>
      </c>
      <c r="N224" s="38"/>
      <c r="O224" s="46"/>
      <c r="P224" s="42">
        <f t="shared" si="76"/>
        <v>14341.2</v>
      </c>
      <c r="Q224" s="38"/>
      <c r="R224" s="38"/>
      <c r="S224" s="38"/>
      <c r="T224" s="38"/>
      <c r="U224" s="37">
        <f t="shared" si="73"/>
        <v>17</v>
      </c>
      <c r="V224" s="38">
        <v>4</v>
      </c>
      <c r="W224" s="38" t="s">
        <v>643</v>
      </c>
      <c r="X224" s="38"/>
      <c r="Y224" s="38"/>
      <c r="Z224" s="38"/>
      <c r="AA224" s="38"/>
      <c r="AB224" s="38"/>
      <c r="AC224" s="38"/>
      <c r="AD224" s="38"/>
      <c r="AE224" s="38"/>
      <c r="AF224" s="38"/>
      <c r="AG224" s="43"/>
      <c r="AH224" s="44"/>
      <c r="AI224" s="45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</row>
    <row r="225" spans="1:86">
      <c r="A225" s="33">
        <v>45647</v>
      </c>
      <c r="B225" s="1" t="s">
        <v>644</v>
      </c>
      <c r="C225" s="1" t="s">
        <v>644</v>
      </c>
      <c r="D225" s="1"/>
      <c r="E225" s="38" t="s">
        <v>29</v>
      </c>
      <c r="F225" s="38">
        <v>77</v>
      </c>
      <c r="G225" s="38" t="s">
        <v>635</v>
      </c>
      <c r="H225" s="38">
        <v>180</v>
      </c>
      <c r="I225" s="38">
        <v>1454</v>
      </c>
      <c r="J225" s="11">
        <f t="shared" si="77"/>
        <v>1454</v>
      </c>
      <c r="K225" s="5">
        <f t="shared" si="75"/>
        <v>10490.620490620491</v>
      </c>
      <c r="L225" s="39">
        <v>1</v>
      </c>
      <c r="M225" s="37">
        <f t="shared" si="78"/>
        <v>1</v>
      </c>
      <c r="N225" s="38"/>
      <c r="O225" s="46"/>
      <c r="P225" s="42">
        <f t="shared" si="76"/>
        <v>1454</v>
      </c>
      <c r="Q225" s="38"/>
      <c r="R225" s="38"/>
      <c r="S225" s="38"/>
      <c r="T225" s="38"/>
      <c r="U225" s="37">
        <f t="shared" si="73"/>
        <v>1</v>
      </c>
      <c r="V225" s="38">
        <v>4</v>
      </c>
      <c r="W225" s="38" t="s">
        <v>643</v>
      </c>
      <c r="X225" s="38"/>
      <c r="Y225" s="38"/>
      <c r="Z225" s="38"/>
      <c r="AA225" s="38"/>
      <c r="AB225" s="38"/>
      <c r="AC225" s="38"/>
      <c r="AD225" s="38"/>
      <c r="AE225" s="38"/>
      <c r="AF225" s="38"/>
      <c r="AG225" s="43"/>
      <c r="AH225" s="44"/>
      <c r="AI225" s="45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</row>
    <row r="226" spans="1:86" ht="28.8">
      <c r="A226" s="33">
        <v>45650</v>
      </c>
      <c r="B226" s="1" t="s">
        <v>645</v>
      </c>
      <c r="C226" s="1" t="s">
        <v>645</v>
      </c>
      <c r="D226" s="1" t="s">
        <v>646</v>
      </c>
      <c r="E226" s="38" t="s">
        <v>29</v>
      </c>
      <c r="F226" s="38">
        <v>66.3</v>
      </c>
      <c r="G226" s="38" t="s">
        <v>635</v>
      </c>
      <c r="H226" s="38">
        <v>79</v>
      </c>
      <c r="I226" s="38">
        <v>651</v>
      </c>
      <c r="J226" s="11">
        <f t="shared" si="77"/>
        <v>1953</v>
      </c>
      <c r="K226" s="5">
        <f t="shared" si="75"/>
        <v>37287.358955266624</v>
      </c>
      <c r="L226" s="39">
        <v>3</v>
      </c>
      <c r="M226" s="37">
        <f t="shared" si="78"/>
        <v>3</v>
      </c>
      <c r="N226" s="38"/>
      <c r="O226" s="46"/>
      <c r="P226" s="42">
        <f t="shared" si="76"/>
        <v>1953</v>
      </c>
      <c r="Q226" s="38" t="s">
        <v>559</v>
      </c>
      <c r="R226" s="38"/>
      <c r="S226" s="38"/>
      <c r="T226" s="38"/>
      <c r="U226" s="37">
        <f t="shared" si="73"/>
        <v>3</v>
      </c>
      <c r="V226" s="38">
        <v>4</v>
      </c>
      <c r="W226" s="38" t="s">
        <v>643</v>
      </c>
      <c r="X226" s="38"/>
      <c r="Y226" s="38"/>
      <c r="Z226" s="38"/>
      <c r="AA226" s="38"/>
      <c r="AB226" s="38"/>
      <c r="AC226" s="38"/>
      <c r="AD226" s="38"/>
      <c r="AE226" s="38"/>
      <c r="AF226" s="38"/>
      <c r="AG226" s="43"/>
      <c r="AH226" s="44"/>
      <c r="AI226" s="45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</row>
    <row r="227" spans="1:86">
      <c r="A227" s="33">
        <v>45476</v>
      </c>
      <c r="B227" s="1" t="s">
        <v>316</v>
      </c>
      <c r="C227" s="1" t="s">
        <v>317</v>
      </c>
      <c r="D227" s="1"/>
      <c r="E227" s="38" t="s">
        <v>83</v>
      </c>
      <c r="F227" s="38">
        <v>90</v>
      </c>
      <c r="G227" s="38" t="s">
        <v>318</v>
      </c>
      <c r="H227" s="38">
        <v>50</v>
      </c>
      <c r="I227" s="38">
        <v>561</v>
      </c>
      <c r="J227" s="11">
        <f t="shared" si="77"/>
        <v>561</v>
      </c>
      <c r="K227" s="5">
        <f t="shared" ref="K227:K248" si="79">+J227/(F227*H227*10^-5)</f>
        <v>12466.666666666666</v>
      </c>
      <c r="L227" s="39">
        <v>1</v>
      </c>
      <c r="M227" s="37">
        <f t="shared" si="78"/>
        <v>1</v>
      </c>
      <c r="N227" s="38"/>
      <c r="O227" s="46"/>
      <c r="P227" s="42">
        <f t="shared" si="76"/>
        <v>561</v>
      </c>
      <c r="Q227" s="38"/>
      <c r="R227" s="38"/>
      <c r="S227" s="38"/>
      <c r="T227" s="38"/>
      <c r="U227" s="37">
        <f t="shared" si="73"/>
        <v>1</v>
      </c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43"/>
      <c r="AH227" s="44"/>
      <c r="AI227" s="45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</row>
    <row r="228" spans="1:86">
      <c r="A228" s="33">
        <v>45476</v>
      </c>
      <c r="B228" s="1" t="s">
        <v>316</v>
      </c>
      <c r="C228" s="1" t="s">
        <v>317</v>
      </c>
      <c r="D228" s="1"/>
      <c r="E228" s="38" t="s">
        <v>83</v>
      </c>
      <c r="F228" s="38">
        <v>90</v>
      </c>
      <c r="G228" s="38" t="s">
        <v>318</v>
      </c>
      <c r="H228" s="38">
        <v>50</v>
      </c>
      <c r="I228" s="38">
        <v>533</v>
      </c>
      <c r="J228" s="11">
        <f t="shared" si="77"/>
        <v>533</v>
      </c>
      <c r="K228" s="5">
        <f t="shared" si="79"/>
        <v>11844.444444444443</v>
      </c>
      <c r="L228" s="39">
        <v>1</v>
      </c>
      <c r="M228" s="37">
        <f t="shared" si="78"/>
        <v>1</v>
      </c>
      <c r="N228" s="38"/>
      <c r="O228" s="46"/>
      <c r="P228" s="42">
        <f t="shared" si="76"/>
        <v>533</v>
      </c>
      <c r="Q228" s="38"/>
      <c r="R228" s="38"/>
      <c r="S228" s="38"/>
      <c r="T228" s="38"/>
      <c r="U228" s="37">
        <f t="shared" si="73"/>
        <v>1</v>
      </c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43"/>
      <c r="AH228" s="44"/>
      <c r="AI228" s="45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</row>
    <row r="229" spans="1:86">
      <c r="A229" s="33">
        <v>45470</v>
      </c>
      <c r="B229" s="1" t="s">
        <v>647</v>
      </c>
      <c r="C229" s="1" t="s">
        <v>648</v>
      </c>
      <c r="D229" s="1"/>
      <c r="E229" s="38" t="s">
        <v>41</v>
      </c>
      <c r="F229" s="38">
        <v>48.8</v>
      </c>
      <c r="G229" s="38" t="s">
        <v>649</v>
      </c>
      <c r="H229" s="38">
        <v>33</v>
      </c>
      <c r="I229" s="38">
        <f>275*5</f>
        <v>1375</v>
      </c>
      <c r="J229" s="11">
        <f>IFERROR(IF(AND(V229=3,U229&gt;0),I229,I229*U229),"Verify")-316</f>
        <v>1059</v>
      </c>
      <c r="K229" s="5">
        <f t="shared" si="79"/>
        <v>65760.059612518628</v>
      </c>
      <c r="L229" s="39">
        <v>4</v>
      </c>
      <c r="M229" s="37">
        <f t="shared" si="78"/>
        <v>4</v>
      </c>
      <c r="N229" s="38"/>
      <c r="O229" s="46"/>
      <c r="P229" s="42">
        <f t="shared" si="76"/>
        <v>1059</v>
      </c>
      <c r="Q229" s="38" t="s">
        <v>485</v>
      </c>
      <c r="R229" s="38"/>
      <c r="S229" s="38"/>
      <c r="T229" s="38" t="s">
        <v>650</v>
      </c>
      <c r="U229" s="37">
        <f t="shared" si="73"/>
        <v>4</v>
      </c>
      <c r="V229" s="38">
        <v>3</v>
      </c>
      <c r="W229" s="38">
        <v>2</v>
      </c>
      <c r="X229" s="38"/>
      <c r="Y229" s="38"/>
      <c r="Z229" s="38"/>
      <c r="AA229" s="38"/>
      <c r="AB229" s="38"/>
      <c r="AC229" s="38"/>
      <c r="AD229" s="38"/>
      <c r="AE229" s="38"/>
      <c r="AF229" s="38"/>
      <c r="AG229" s="43"/>
      <c r="AH229" s="44"/>
      <c r="AI229" s="45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</row>
    <row r="230" spans="1:86">
      <c r="A230" s="33">
        <v>45471</v>
      </c>
      <c r="B230" s="1" t="s">
        <v>651</v>
      </c>
      <c r="C230" s="1" t="s">
        <v>651</v>
      </c>
      <c r="D230" s="1"/>
      <c r="E230" s="38" t="s">
        <v>41</v>
      </c>
      <c r="F230" s="38">
        <v>50</v>
      </c>
      <c r="G230" s="38" t="s">
        <v>649</v>
      </c>
      <c r="H230" s="38">
        <v>33</v>
      </c>
      <c r="I230" s="38">
        <v>1726</v>
      </c>
      <c r="J230" s="11">
        <f t="shared" ref="J230:J235" si="80">IFERROR(IF(AND(V230=3,U230&gt;0),I230,I230*U230),"Verify")</f>
        <v>1726</v>
      </c>
      <c r="K230" s="5">
        <f t="shared" si="79"/>
        <v>104606.06060606061</v>
      </c>
      <c r="L230" s="39">
        <v>6</v>
      </c>
      <c r="M230" s="37">
        <f t="shared" si="78"/>
        <v>6</v>
      </c>
      <c r="N230" s="38"/>
      <c r="O230" s="46"/>
      <c r="P230" s="42">
        <f t="shared" si="76"/>
        <v>1726</v>
      </c>
      <c r="Q230" s="38" t="s">
        <v>485</v>
      </c>
      <c r="R230" s="38"/>
      <c r="S230" s="38"/>
      <c r="T230" s="38" t="s">
        <v>652</v>
      </c>
      <c r="U230" s="37">
        <f t="shared" si="73"/>
        <v>6</v>
      </c>
      <c r="V230" s="38">
        <v>3</v>
      </c>
      <c r="W230" s="38" t="s">
        <v>653</v>
      </c>
      <c r="X230" s="38"/>
      <c r="Y230" s="38"/>
      <c r="Z230" s="38"/>
      <c r="AA230" s="38"/>
      <c r="AB230" s="38"/>
      <c r="AC230" s="38"/>
      <c r="AD230" s="38"/>
      <c r="AE230" s="38"/>
      <c r="AF230" s="38"/>
      <c r="AG230" s="43"/>
      <c r="AH230" s="44"/>
      <c r="AI230" s="45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</row>
    <row r="231" spans="1:86">
      <c r="A231" s="33">
        <v>45471</v>
      </c>
      <c r="B231" s="1" t="s">
        <v>651</v>
      </c>
      <c r="C231" s="1" t="s">
        <v>651</v>
      </c>
      <c r="D231" s="1"/>
      <c r="E231" s="38" t="s">
        <v>41</v>
      </c>
      <c r="F231" s="38">
        <v>50</v>
      </c>
      <c r="G231" s="38" t="s">
        <v>649</v>
      </c>
      <c r="H231" s="38">
        <v>33</v>
      </c>
      <c r="I231" s="38">
        <v>1435</v>
      </c>
      <c r="J231" s="11">
        <f t="shared" si="80"/>
        <v>1435</v>
      </c>
      <c r="K231" s="5">
        <f t="shared" si="79"/>
        <v>86969.696969696961</v>
      </c>
      <c r="L231" s="39">
        <v>5</v>
      </c>
      <c r="M231" s="37">
        <f t="shared" si="78"/>
        <v>5</v>
      </c>
      <c r="N231" s="38"/>
      <c r="O231" s="46"/>
      <c r="P231" s="42">
        <f t="shared" si="76"/>
        <v>1435</v>
      </c>
      <c r="Q231" s="38" t="s">
        <v>485</v>
      </c>
      <c r="R231" s="38"/>
      <c r="S231" s="38"/>
      <c r="T231" s="38" t="s">
        <v>654</v>
      </c>
      <c r="U231" s="37">
        <f t="shared" ref="U231:U271" si="81">+L231-X231-Z231-AD231-AB231-AF231-AH231-AJ231-AL231-AO231-AQ231-AS231-AU231-AW231-AY231-BA231-BC231-BE231-BG231-BI231-BK231-BM231-BO231-BQ231-BS231-BU231-BW231-BY231-CA231-CC231-CE231-CG231</f>
        <v>5</v>
      </c>
      <c r="V231" s="38">
        <v>3</v>
      </c>
      <c r="W231" s="38" t="s">
        <v>655</v>
      </c>
      <c r="X231" s="38"/>
      <c r="Y231" s="38"/>
      <c r="Z231" s="38"/>
      <c r="AA231" s="38"/>
      <c r="AB231" s="38"/>
      <c r="AC231" s="38"/>
      <c r="AD231" s="38"/>
      <c r="AE231" s="38"/>
      <c r="AF231" s="38"/>
      <c r="AG231" s="43"/>
      <c r="AH231" s="44"/>
      <c r="AI231" s="45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</row>
    <row r="232" spans="1:86">
      <c r="A232" s="33">
        <v>45471</v>
      </c>
      <c r="B232" s="1" t="s">
        <v>651</v>
      </c>
      <c r="C232" s="1" t="s">
        <v>651</v>
      </c>
      <c r="D232" s="1"/>
      <c r="E232" s="38" t="s">
        <v>41</v>
      </c>
      <c r="F232" s="38">
        <v>50</v>
      </c>
      <c r="G232" s="38" t="s">
        <v>649</v>
      </c>
      <c r="H232" s="38">
        <v>33</v>
      </c>
      <c r="I232" s="38">
        <v>1415</v>
      </c>
      <c r="J232" s="11">
        <f t="shared" si="80"/>
        <v>1415</v>
      </c>
      <c r="K232" s="5">
        <f t="shared" si="79"/>
        <v>85757.57575757576</v>
      </c>
      <c r="L232" s="39">
        <v>5</v>
      </c>
      <c r="M232" s="37">
        <f t="shared" si="78"/>
        <v>5</v>
      </c>
      <c r="N232" s="38"/>
      <c r="O232" s="46"/>
      <c r="P232" s="42">
        <f t="shared" si="76"/>
        <v>1415</v>
      </c>
      <c r="Q232" s="38" t="s">
        <v>485</v>
      </c>
      <c r="R232" s="38"/>
      <c r="S232" s="38"/>
      <c r="T232" s="38" t="s">
        <v>656</v>
      </c>
      <c r="U232" s="37">
        <f t="shared" si="81"/>
        <v>5</v>
      </c>
      <c r="V232" s="38">
        <v>3</v>
      </c>
      <c r="W232" s="38" t="s">
        <v>655</v>
      </c>
      <c r="X232" s="38"/>
      <c r="Y232" s="38"/>
      <c r="Z232" s="38"/>
      <c r="AA232" s="38"/>
      <c r="AB232" s="38"/>
      <c r="AC232" s="38"/>
      <c r="AD232" s="38"/>
      <c r="AE232" s="38"/>
      <c r="AF232" s="38"/>
      <c r="AG232" s="43"/>
      <c r="AH232" s="44"/>
      <c r="AI232" s="45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</row>
    <row r="233" spans="1:86">
      <c r="A233" s="33">
        <v>45471</v>
      </c>
      <c r="B233" s="1" t="s">
        <v>651</v>
      </c>
      <c r="C233" s="1" t="s">
        <v>651</v>
      </c>
      <c r="D233" s="1"/>
      <c r="E233" s="38" t="s">
        <v>41</v>
      </c>
      <c r="F233" s="38">
        <v>50</v>
      </c>
      <c r="G233" s="38" t="s">
        <v>649</v>
      </c>
      <c r="H233" s="38">
        <v>33</v>
      </c>
      <c r="I233" s="38">
        <v>1104</v>
      </c>
      <c r="J233" s="11">
        <f t="shared" si="80"/>
        <v>1104</v>
      </c>
      <c r="K233" s="5">
        <f t="shared" si="79"/>
        <v>66909.090909090912</v>
      </c>
      <c r="L233" s="39">
        <v>4</v>
      </c>
      <c r="M233" s="37">
        <f t="shared" si="78"/>
        <v>4</v>
      </c>
      <c r="N233" s="38"/>
      <c r="O233" s="46"/>
      <c r="P233" s="42">
        <f t="shared" si="76"/>
        <v>1104</v>
      </c>
      <c r="Q233" s="38" t="s">
        <v>485</v>
      </c>
      <c r="R233" s="38"/>
      <c r="S233" s="38"/>
      <c r="T233" s="38" t="s">
        <v>657</v>
      </c>
      <c r="U233" s="37">
        <f t="shared" si="81"/>
        <v>4</v>
      </c>
      <c r="V233" s="38">
        <v>3</v>
      </c>
      <c r="W233" s="38" t="s">
        <v>655</v>
      </c>
      <c r="X233" s="38"/>
      <c r="Y233" s="38"/>
      <c r="Z233" s="38"/>
      <c r="AA233" s="38"/>
      <c r="AB233" s="38"/>
      <c r="AC233" s="38"/>
      <c r="AD233" s="38"/>
      <c r="AE233" s="38"/>
      <c r="AF233" s="38"/>
      <c r="AG233" s="43"/>
      <c r="AH233" s="44"/>
      <c r="AI233" s="45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38"/>
      <c r="BV233" s="38"/>
      <c r="BW233" s="38"/>
      <c r="BX233" s="38"/>
      <c r="BY233" s="38"/>
      <c r="BZ233" s="38"/>
      <c r="CA233" s="38"/>
      <c r="CB233" s="38"/>
      <c r="CC233" s="38"/>
      <c r="CD233" s="38"/>
      <c r="CE233" s="38"/>
      <c r="CF233" s="38"/>
      <c r="CG233" s="38"/>
      <c r="CH233" s="38"/>
    </row>
    <row r="234" spans="1:86">
      <c r="A234" s="33">
        <v>45471</v>
      </c>
      <c r="B234" s="1" t="s">
        <v>651</v>
      </c>
      <c r="C234" s="1" t="s">
        <v>651</v>
      </c>
      <c r="D234" s="1"/>
      <c r="E234" s="38" t="s">
        <v>41</v>
      </c>
      <c r="F234" s="38">
        <v>50</v>
      </c>
      <c r="G234" s="38" t="s">
        <v>649</v>
      </c>
      <c r="H234" s="38">
        <v>33</v>
      </c>
      <c r="I234" s="38">
        <v>1410</v>
      </c>
      <c r="J234" s="11">
        <f t="shared" si="80"/>
        <v>1410</v>
      </c>
      <c r="K234" s="5">
        <f t="shared" si="79"/>
        <v>85454.545454545456</v>
      </c>
      <c r="L234" s="39">
        <v>5</v>
      </c>
      <c r="M234" s="37">
        <f t="shared" si="78"/>
        <v>5</v>
      </c>
      <c r="N234" s="38"/>
      <c r="O234" s="46"/>
      <c r="P234" s="42">
        <f t="shared" si="76"/>
        <v>1410</v>
      </c>
      <c r="Q234" s="38" t="s">
        <v>485</v>
      </c>
      <c r="R234" s="38"/>
      <c r="S234" s="38"/>
      <c r="T234" s="38" t="s">
        <v>658</v>
      </c>
      <c r="U234" s="37">
        <f t="shared" si="81"/>
        <v>5</v>
      </c>
      <c r="V234" s="38">
        <v>3</v>
      </c>
      <c r="W234" s="38" t="s">
        <v>655</v>
      </c>
      <c r="X234" s="38"/>
      <c r="Y234" s="38"/>
      <c r="Z234" s="38"/>
      <c r="AA234" s="38"/>
      <c r="AB234" s="38"/>
      <c r="AC234" s="38"/>
      <c r="AD234" s="38"/>
      <c r="AE234" s="38"/>
      <c r="AF234" s="38"/>
      <c r="AG234" s="43"/>
      <c r="AH234" s="44"/>
      <c r="AI234" s="45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</row>
    <row r="235" spans="1:86">
      <c r="A235" s="33">
        <v>45471</v>
      </c>
      <c r="B235" s="1" t="s">
        <v>651</v>
      </c>
      <c r="C235" s="1" t="s">
        <v>651</v>
      </c>
      <c r="D235" s="1"/>
      <c r="E235" s="38" t="s">
        <v>41</v>
      </c>
      <c r="F235" s="38">
        <v>50</v>
      </c>
      <c r="G235" s="38" t="s">
        <v>649</v>
      </c>
      <c r="H235" s="38">
        <v>33</v>
      </c>
      <c r="I235" s="38">
        <v>1118</v>
      </c>
      <c r="J235" s="11">
        <f t="shared" si="80"/>
        <v>1118</v>
      </c>
      <c r="K235" s="5">
        <f t="shared" si="79"/>
        <v>67757.57575757576</v>
      </c>
      <c r="L235" s="39">
        <v>4</v>
      </c>
      <c r="M235" s="37">
        <f t="shared" si="78"/>
        <v>4</v>
      </c>
      <c r="N235" s="38"/>
      <c r="O235" s="46"/>
      <c r="P235" s="42">
        <f t="shared" si="76"/>
        <v>1118</v>
      </c>
      <c r="Q235" s="38" t="s">
        <v>485</v>
      </c>
      <c r="R235" s="38"/>
      <c r="S235" s="38"/>
      <c r="T235" s="38" t="s">
        <v>659</v>
      </c>
      <c r="U235" s="37">
        <f t="shared" si="81"/>
        <v>4</v>
      </c>
      <c r="V235" s="38">
        <v>3</v>
      </c>
      <c r="W235" s="38" t="s">
        <v>655</v>
      </c>
      <c r="X235" s="38"/>
      <c r="Y235" s="38"/>
      <c r="Z235" s="38"/>
      <c r="AA235" s="38"/>
      <c r="AB235" s="38"/>
      <c r="AC235" s="38"/>
      <c r="AD235" s="38"/>
      <c r="AE235" s="38"/>
      <c r="AF235" s="38"/>
      <c r="AG235" s="43"/>
      <c r="AH235" s="44"/>
      <c r="AI235" s="45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</row>
    <row r="236" spans="1:86">
      <c r="A236" s="33">
        <v>45471</v>
      </c>
      <c r="B236" s="1" t="s">
        <v>651</v>
      </c>
      <c r="C236" s="1" t="s">
        <v>651</v>
      </c>
      <c r="D236" s="1"/>
      <c r="E236" s="38" t="s">
        <v>41</v>
      </c>
      <c r="F236" s="38">
        <v>50</v>
      </c>
      <c r="G236" s="38" t="s">
        <v>649</v>
      </c>
      <c r="H236" s="38">
        <v>33</v>
      </c>
      <c r="I236" s="38">
        <v>870</v>
      </c>
      <c r="J236" s="11">
        <f>IFERROR(IF(AND(V236=3,U236&gt;0),I236,I236*U236),"Verify")-550</f>
        <v>320</v>
      </c>
      <c r="K236" s="5">
        <f t="shared" si="79"/>
        <v>19393.939393939392</v>
      </c>
      <c r="L236" s="39">
        <v>1</v>
      </c>
      <c r="M236" s="37">
        <f t="shared" si="78"/>
        <v>1</v>
      </c>
      <c r="N236" s="38"/>
      <c r="O236" s="46"/>
      <c r="P236" s="42">
        <f t="shared" si="76"/>
        <v>320</v>
      </c>
      <c r="Q236" s="38" t="s">
        <v>485</v>
      </c>
      <c r="R236" s="38"/>
      <c r="S236" s="38"/>
      <c r="T236" s="38" t="s">
        <v>660</v>
      </c>
      <c r="U236" s="37">
        <f t="shared" si="81"/>
        <v>1</v>
      </c>
      <c r="V236" s="38">
        <v>3</v>
      </c>
      <c r="W236" s="38" t="s">
        <v>655</v>
      </c>
      <c r="X236" s="38"/>
      <c r="Y236" s="38"/>
      <c r="Z236" s="38"/>
      <c r="AA236" s="38"/>
      <c r="AB236" s="38"/>
      <c r="AC236" s="38"/>
      <c r="AD236" s="38"/>
      <c r="AE236" s="38"/>
      <c r="AF236" s="38"/>
      <c r="AG236" s="43"/>
      <c r="AH236" s="44"/>
      <c r="AI236" s="45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</row>
    <row r="237" spans="1:86">
      <c r="A237" s="33">
        <v>45471</v>
      </c>
      <c r="B237" s="1" t="s">
        <v>651</v>
      </c>
      <c r="C237" s="1" t="s">
        <v>651</v>
      </c>
      <c r="D237" s="1"/>
      <c r="E237" s="38" t="s">
        <v>41</v>
      </c>
      <c r="F237" s="38">
        <v>50</v>
      </c>
      <c r="G237" s="38" t="s">
        <v>649</v>
      </c>
      <c r="H237" s="38">
        <v>33</v>
      </c>
      <c r="I237" s="38">
        <v>1705</v>
      </c>
      <c r="J237" s="11">
        <f t="shared" ref="J237:J290" si="82">IFERROR(IF(AND(V237=3,U237&gt;0),I237,I237*U237),"Verify")</f>
        <v>1705</v>
      </c>
      <c r="K237" s="5">
        <f t="shared" si="79"/>
        <v>103333.33333333333</v>
      </c>
      <c r="L237" s="39">
        <v>6</v>
      </c>
      <c r="M237" s="37">
        <f t="shared" si="78"/>
        <v>6</v>
      </c>
      <c r="N237" s="38"/>
      <c r="O237" s="46"/>
      <c r="P237" s="42">
        <f t="shared" si="76"/>
        <v>1705</v>
      </c>
      <c r="Q237" s="38" t="s">
        <v>485</v>
      </c>
      <c r="R237" s="38"/>
      <c r="S237" s="38"/>
      <c r="T237" s="38" t="s">
        <v>85</v>
      </c>
      <c r="U237" s="37">
        <f t="shared" si="81"/>
        <v>6</v>
      </c>
      <c r="V237" s="38">
        <v>3</v>
      </c>
      <c r="W237" s="38" t="s">
        <v>655</v>
      </c>
      <c r="X237" s="38"/>
      <c r="Y237" s="38"/>
      <c r="Z237" s="38"/>
      <c r="AA237" s="38"/>
      <c r="AB237" s="38"/>
      <c r="AC237" s="38"/>
      <c r="AD237" s="38"/>
      <c r="AE237" s="38"/>
      <c r="AF237" s="38"/>
      <c r="AG237" s="43"/>
      <c r="AH237" s="44"/>
      <c r="AI237" s="45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</row>
    <row r="238" spans="1:86">
      <c r="A238" s="33">
        <v>45474</v>
      </c>
      <c r="B238" s="1" t="s">
        <v>651</v>
      </c>
      <c r="C238" s="1" t="s">
        <v>651</v>
      </c>
      <c r="D238" s="1"/>
      <c r="E238" s="38" t="s">
        <v>41</v>
      </c>
      <c r="F238" s="38">
        <v>50</v>
      </c>
      <c r="G238" s="38" t="s">
        <v>649</v>
      </c>
      <c r="H238" s="38">
        <v>33</v>
      </c>
      <c r="I238" s="38">
        <v>180</v>
      </c>
      <c r="J238" s="11">
        <f t="shared" si="82"/>
        <v>180</v>
      </c>
      <c r="K238" s="5">
        <f t="shared" si="79"/>
        <v>10909.090909090908</v>
      </c>
      <c r="L238" s="39">
        <v>1</v>
      </c>
      <c r="M238" s="37">
        <f t="shared" si="78"/>
        <v>1</v>
      </c>
      <c r="N238" s="38"/>
      <c r="O238" s="46"/>
      <c r="P238" s="42">
        <f t="shared" si="76"/>
        <v>180</v>
      </c>
      <c r="Q238" s="38" t="s">
        <v>485</v>
      </c>
      <c r="R238" s="38"/>
      <c r="S238" s="38"/>
      <c r="T238" s="38"/>
      <c r="U238" s="37">
        <f t="shared" si="81"/>
        <v>1</v>
      </c>
      <c r="V238" s="38">
        <v>3</v>
      </c>
      <c r="W238" s="38" t="s">
        <v>661</v>
      </c>
      <c r="X238" s="38"/>
      <c r="Y238" s="38"/>
      <c r="Z238" s="38"/>
      <c r="AA238" s="38"/>
      <c r="AB238" s="38"/>
      <c r="AC238" s="38"/>
      <c r="AD238" s="38"/>
      <c r="AE238" s="38"/>
      <c r="AF238" s="38"/>
      <c r="AG238" s="43"/>
      <c r="AH238" s="44"/>
      <c r="AI238" s="45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</row>
    <row r="239" spans="1:86">
      <c r="A239" s="33">
        <v>45477</v>
      </c>
      <c r="B239" s="1" t="s">
        <v>662</v>
      </c>
      <c r="C239" s="1" t="s">
        <v>663</v>
      </c>
      <c r="D239" s="1"/>
      <c r="E239" s="38" t="s">
        <v>29</v>
      </c>
      <c r="F239" s="38">
        <v>65</v>
      </c>
      <c r="G239" s="38" t="s">
        <v>115</v>
      </c>
      <c r="H239" s="38">
        <v>38.1</v>
      </c>
      <c r="I239" s="38">
        <v>297</v>
      </c>
      <c r="J239" s="11">
        <f t="shared" si="82"/>
        <v>297</v>
      </c>
      <c r="K239" s="5">
        <f t="shared" si="79"/>
        <v>11992.731677771048</v>
      </c>
      <c r="L239" s="39">
        <v>1</v>
      </c>
      <c r="M239" s="37">
        <f t="shared" si="78"/>
        <v>1</v>
      </c>
      <c r="N239" s="38"/>
      <c r="O239" s="46"/>
      <c r="P239" s="42">
        <f t="shared" si="76"/>
        <v>297</v>
      </c>
      <c r="Q239" s="38"/>
      <c r="R239" s="38"/>
      <c r="S239" s="38"/>
      <c r="T239" s="38"/>
      <c r="U239" s="37">
        <f t="shared" si="81"/>
        <v>1</v>
      </c>
      <c r="V239" s="38">
        <v>4</v>
      </c>
      <c r="W239" s="38" t="s">
        <v>637</v>
      </c>
      <c r="X239" s="38"/>
      <c r="Y239" s="38"/>
      <c r="Z239" s="38"/>
      <c r="AA239" s="38"/>
      <c r="AB239" s="38"/>
      <c r="AC239" s="38"/>
      <c r="AD239" s="38"/>
      <c r="AE239" s="38"/>
      <c r="AF239" s="38"/>
      <c r="AG239" s="43"/>
      <c r="AH239" s="44"/>
      <c r="AI239" s="45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</row>
    <row r="240" spans="1:86" ht="43.2">
      <c r="A240" s="33">
        <v>45484</v>
      </c>
      <c r="B240" s="1" t="s">
        <v>664</v>
      </c>
      <c r="C240" s="1" t="s">
        <v>665</v>
      </c>
      <c r="D240" s="1"/>
      <c r="E240" s="38" t="s">
        <v>29</v>
      </c>
      <c r="F240" s="38">
        <v>80</v>
      </c>
      <c r="G240" s="38" t="s">
        <v>115</v>
      </c>
      <c r="H240" s="38">
        <v>129.5</v>
      </c>
      <c r="I240" s="38">
        <v>1243</v>
      </c>
      <c r="J240" s="11">
        <f t="shared" si="82"/>
        <v>1243</v>
      </c>
      <c r="K240" s="5">
        <f t="shared" si="79"/>
        <v>11998.069498069497</v>
      </c>
      <c r="L240" s="39">
        <v>1</v>
      </c>
      <c r="M240" s="37">
        <f t="shared" si="78"/>
        <v>1</v>
      </c>
      <c r="N240" s="38"/>
      <c r="O240" s="46"/>
      <c r="P240" s="42">
        <f t="shared" si="76"/>
        <v>1243</v>
      </c>
      <c r="Q240" s="38" t="s">
        <v>666</v>
      </c>
      <c r="R240" s="38"/>
      <c r="S240" s="38"/>
      <c r="T240" s="38"/>
      <c r="U240" s="37">
        <f t="shared" si="81"/>
        <v>1</v>
      </c>
      <c r="V240" s="38">
        <v>4</v>
      </c>
      <c r="W240" s="38" t="s">
        <v>637</v>
      </c>
      <c r="X240" s="38"/>
      <c r="Y240" s="38"/>
      <c r="Z240" s="38"/>
      <c r="AA240" s="38"/>
      <c r="AB240" s="38"/>
      <c r="AC240" s="38"/>
      <c r="AD240" s="38"/>
      <c r="AE240" s="38"/>
      <c r="AF240" s="38"/>
      <c r="AG240" s="43"/>
      <c r="AH240" s="44"/>
      <c r="AI240" s="45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</row>
    <row r="241" spans="1:86" ht="28.8">
      <c r="A241" s="33">
        <v>45645</v>
      </c>
      <c r="B241" s="1" t="s">
        <v>667</v>
      </c>
      <c r="C241" s="1" t="s">
        <v>667</v>
      </c>
      <c r="D241" s="1"/>
      <c r="E241" s="38" t="s">
        <v>29</v>
      </c>
      <c r="F241" s="38">
        <v>49</v>
      </c>
      <c r="G241" s="38" t="s">
        <v>115</v>
      </c>
      <c r="H241" s="38">
        <v>25</v>
      </c>
      <c r="I241" s="38">
        <f>306</f>
        <v>306</v>
      </c>
      <c r="J241" s="11">
        <f t="shared" si="82"/>
        <v>6732</v>
      </c>
      <c r="K241" s="5">
        <f t="shared" si="79"/>
        <v>549551.0204081632</v>
      </c>
      <c r="L241" s="39">
        <v>22</v>
      </c>
      <c r="M241" s="37">
        <f t="shared" si="78"/>
        <v>22</v>
      </c>
      <c r="N241" s="38"/>
      <c r="O241" s="46"/>
      <c r="P241" s="42">
        <f t="shared" si="76"/>
        <v>6732</v>
      </c>
      <c r="Q241" s="38" t="s">
        <v>445</v>
      </c>
      <c r="R241" s="38"/>
      <c r="S241" s="38"/>
      <c r="T241" s="38"/>
      <c r="U241" s="37">
        <f t="shared" si="81"/>
        <v>22</v>
      </c>
      <c r="V241" s="38">
        <v>4</v>
      </c>
      <c r="W241" s="38" t="s">
        <v>447</v>
      </c>
      <c r="X241" s="38"/>
      <c r="Y241" s="38"/>
      <c r="Z241" s="38"/>
      <c r="AA241" s="38"/>
      <c r="AB241" s="38"/>
      <c r="AC241" s="38"/>
      <c r="AD241" s="38"/>
      <c r="AE241" s="38"/>
      <c r="AF241" s="38"/>
      <c r="AG241" s="43"/>
      <c r="AH241" s="44"/>
      <c r="AI241" s="45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</row>
    <row r="242" spans="1:86" ht="28.8">
      <c r="A242" s="33">
        <v>45645</v>
      </c>
      <c r="B242" s="1" t="s">
        <v>667</v>
      </c>
      <c r="C242" s="1" t="s">
        <v>667</v>
      </c>
      <c r="D242" s="1"/>
      <c r="E242" s="38" t="s">
        <v>29</v>
      </c>
      <c r="F242" s="38">
        <v>49</v>
      </c>
      <c r="G242" s="38" t="s">
        <v>115</v>
      </c>
      <c r="H242" s="38">
        <v>25</v>
      </c>
      <c r="I242" s="38">
        <v>165</v>
      </c>
      <c r="J242" s="11">
        <f t="shared" si="82"/>
        <v>660</v>
      </c>
      <c r="K242" s="5">
        <f t="shared" si="79"/>
        <v>53877.551020408158</v>
      </c>
      <c r="L242" s="39">
        <v>4</v>
      </c>
      <c r="M242" s="37">
        <f t="shared" si="78"/>
        <v>4</v>
      </c>
      <c r="N242" s="38"/>
      <c r="O242" s="46"/>
      <c r="P242" s="42">
        <f t="shared" si="76"/>
        <v>660</v>
      </c>
      <c r="Q242" s="38" t="s">
        <v>445</v>
      </c>
      <c r="R242" s="38"/>
      <c r="S242" s="38"/>
      <c r="T242" s="38"/>
      <c r="U242" s="37">
        <f t="shared" si="81"/>
        <v>4</v>
      </c>
      <c r="V242" s="38">
        <v>4</v>
      </c>
      <c r="W242" s="38" t="s">
        <v>447</v>
      </c>
      <c r="X242" s="38"/>
      <c r="Y242" s="38"/>
      <c r="Z242" s="38"/>
      <c r="AA242" s="38"/>
      <c r="AB242" s="38"/>
      <c r="AC242" s="38"/>
      <c r="AD242" s="38"/>
      <c r="AE242" s="38"/>
      <c r="AF242" s="38"/>
      <c r="AG242" s="43"/>
      <c r="AH242" s="44"/>
      <c r="AI242" s="45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</row>
    <row r="243" spans="1:86" ht="28.8">
      <c r="A243" s="33">
        <v>45645</v>
      </c>
      <c r="B243" s="1" t="s">
        <v>667</v>
      </c>
      <c r="C243" s="1" t="s">
        <v>667</v>
      </c>
      <c r="D243" s="1"/>
      <c r="E243" s="38" t="s">
        <v>29</v>
      </c>
      <c r="F243" s="38">
        <v>49</v>
      </c>
      <c r="G243" s="38" t="s">
        <v>115</v>
      </c>
      <c r="H243" s="38">
        <v>25</v>
      </c>
      <c r="I243" s="38">
        <v>123</v>
      </c>
      <c r="J243" s="11">
        <f t="shared" si="82"/>
        <v>123</v>
      </c>
      <c r="K243" s="5">
        <f t="shared" si="79"/>
        <v>10040.816326530612</v>
      </c>
      <c r="L243" s="39">
        <v>1</v>
      </c>
      <c r="M243" s="37">
        <f t="shared" si="78"/>
        <v>1</v>
      </c>
      <c r="N243" s="38"/>
      <c r="O243" s="46"/>
      <c r="P243" s="42">
        <f t="shared" si="76"/>
        <v>123</v>
      </c>
      <c r="Q243" s="38" t="s">
        <v>445</v>
      </c>
      <c r="R243" s="38"/>
      <c r="S243" s="38"/>
      <c r="T243" s="38"/>
      <c r="U243" s="37">
        <f t="shared" si="81"/>
        <v>1</v>
      </c>
      <c r="V243" s="38">
        <v>3</v>
      </c>
      <c r="W243" s="38" t="s">
        <v>447</v>
      </c>
      <c r="X243" s="38"/>
      <c r="Y243" s="38"/>
      <c r="Z243" s="38"/>
      <c r="AA243" s="38"/>
      <c r="AB243" s="38"/>
      <c r="AC243" s="38"/>
      <c r="AD243" s="38"/>
      <c r="AE243" s="38"/>
      <c r="AF243" s="38"/>
      <c r="AG243" s="43"/>
      <c r="AH243" s="44"/>
      <c r="AI243" s="45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</row>
    <row r="244" spans="1:86">
      <c r="A244" s="33">
        <v>45664</v>
      </c>
      <c r="B244" s="1" t="s">
        <v>668</v>
      </c>
      <c r="C244" s="1" t="s">
        <v>668</v>
      </c>
      <c r="D244" s="1" t="s">
        <v>42</v>
      </c>
      <c r="E244" s="38" t="s">
        <v>29</v>
      </c>
      <c r="F244" s="38">
        <v>58</v>
      </c>
      <c r="G244" s="38" t="s">
        <v>115</v>
      </c>
      <c r="H244" s="38">
        <v>62</v>
      </c>
      <c r="I244" s="38">
        <f>49680/60</f>
        <v>828</v>
      </c>
      <c r="J244" s="11">
        <f t="shared" si="82"/>
        <v>828</v>
      </c>
      <c r="K244" s="5">
        <f t="shared" si="79"/>
        <v>23025.583982202443</v>
      </c>
      <c r="L244" s="39">
        <v>1</v>
      </c>
      <c r="M244" s="37">
        <f t="shared" si="78"/>
        <v>1</v>
      </c>
      <c r="N244" s="38"/>
      <c r="O244" s="46"/>
      <c r="P244" s="42">
        <f t="shared" si="76"/>
        <v>828</v>
      </c>
      <c r="Q244" s="38"/>
      <c r="R244" s="38"/>
      <c r="S244" s="38"/>
      <c r="T244" s="38"/>
      <c r="U244" s="37">
        <f t="shared" si="81"/>
        <v>1</v>
      </c>
      <c r="V244" s="38">
        <v>4</v>
      </c>
      <c r="W244" s="38" t="s">
        <v>669</v>
      </c>
      <c r="X244" s="38"/>
      <c r="Y244" s="38"/>
      <c r="Z244" s="38"/>
      <c r="AA244" s="38"/>
      <c r="AB244" s="38"/>
      <c r="AC244" s="38"/>
      <c r="AD244" s="38"/>
      <c r="AE244" s="38"/>
      <c r="AF244" s="38"/>
      <c r="AG244" s="43"/>
      <c r="AH244" s="44"/>
      <c r="AI244" s="45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</row>
    <row r="245" spans="1:86">
      <c r="A245" s="33">
        <v>45735</v>
      </c>
      <c r="B245" s="1" t="s">
        <v>670</v>
      </c>
      <c r="C245" s="1" t="s">
        <v>671</v>
      </c>
      <c r="D245" s="1" t="s">
        <v>287</v>
      </c>
      <c r="E245" s="38" t="s">
        <v>29</v>
      </c>
      <c r="F245" s="38">
        <v>50</v>
      </c>
      <c r="G245" s="38" t="s">
        <v>672</v>
      </c>
      <c r="H245" s="38">
        <v>102</v>
      </c>
      <c r="I245" s="38">
        <v>387</v>
      </c>
      <c r="J245" s="11">
        <f t="shared" si="82"/>
        <v>387</v>
      </c>
      <c r="K245" s="5">
        <f t="shared" si="79"/>
        <v>7588.2352941176468</v>
      </c>
      <c r="L245" s="39">
        <v>1</v>
      </c>
      <c r="M245" s="37">
        <f t="shared" si="78"/>
        <v>1</v>
      </c>
      <c r="N245" s="38"/>
      <c r="O245" s="46"/>
      <c r="P245" s="42">
        <f t="shared" si="76"/>
        <v>387</v>
      </c>
      <c r="Q245" s="38" t="s">
        <v>449</v>
      </c>
      <c r="R245" s="38"/>
      <c r="S245" s="38"/>
      <c r="T245" s="38"/>
      <c r="U245" s="37">
        <f t="shared" si="81"/>
        <v>1</v>
      </c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43"/>
      <c r="AH245" s="44"/>
      <c r="AI245" s="45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</row>
    <row r="246" spans="1:86" ht="28.8">
      <c r="A246" s="33">
        <v>45694</v>
      </c>
      <c r="B246" s="1" t="s">
        <v>674</v>
      </c>
      <c r="C246" s="1" t="s">
        <v>674</v>
      </c>
      <c r="D246" s="1"/>
      <c r="E246" s="38" t="s">
        <v>29</v>
      </c>
      <c r="F246" s="38">
        <v>90</v>
      </c>
      <c r="G246" s="38" t="s">
        <v>673</v>
      </c>
      <c r="H246" s="38">
        <v>85</v>
      </c>
      <c r="I246" s="38">
        <v>550</v>
      </c>
      <c r="J246" s="11">
        <f t="shared" si="82"/>
        <v>2750</v>
      </c>
      <c r="K246" s="5">
        <f t="shared" si="79"/>
        <v>35947.712418300645</v>
      </c>
      <c r="L246" s="39">
        <v>5</v>
      </c>
      <c r="M246" s="37">
        <f t="shared" si="78"/>
        <v>5</v>
      </c>
      <c r="N246" s="38"/>
      <c r="O246" s="46"/>
      <c r="P246" s="42">
        <f t="shared" ref="P246:P259" si="83">+J246-O246</f>
        <v>2750</v>
      </c>
      <c r="Q246" s="38" t="s">
        <v>445</v>
      </c>
      <c r="R246" s="38"/>
      <c r="S246" s="38"/>
      <c r="T246" s="38"/>
      <c r="U246" s="37">
        <f t="shared" si="81"/>
        <v>5</v>
      </c>
      <c r="V246" s="38"/>
      <c r="W246" s="38" t="s">
        <v>675</v>
      </c>
      <c r="X246" s="38"/>
      <c r="Y246" s="38"/>
      <c r="Z246" s="38"/>
      <c r="AA246" s="38"/>
      <c r="AB246" s="38"/>
      <c r="AC246" s="38"/>
      <c r="AD246" s="38"/>
      <c r="AE246" s="38"/>
      <c r="AF246" s="38"/>
      <c r="AG246" s="43"/>
      <c r="AH246" s="44"/>
      <c r="AI246" s="45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</row>
    <row r="247" spans="1:86">
      <c r="A247" s="33">
        <v>45702</v>
      </c>
      <c r="B247" s="1" t="s">
        <v>676</v>
      </c>
      <c r="C247" s="1" t="s">
        <v>676</v>
      </c>
      <c r="D247" s="1"/>
      <c r="E247" s="38" t="s">
        <v>29</v>
      </c>
      <c r="F247" s="38">
        <v>90</v>
      </c>
      <c r="G247" s="38" t="s">
        <v>673</v>
      </c>
      <c r="H247" s="38">
        <v>77</v>
      </c>
      <c r="I247" s="38">
        <v>388</v>
      </c>
      <c r="J247" s="11">
        <f t="shared" si="82"/>
        <v>388</v>
      </c>
      <c r="K247" s="5">
        <f t="shared" si="79"/>
        <v>5598.8455988455989</v>
      </c>
      <c r="L247" s="39">
        <v>1</v>
      </c>
      <c r="M247" s="37">
        <f t="shared" si="78"/>
        <v>1</v>
      </c>
      <c r="N247" s="38"/>
      <c r="O247" s="46"/>
      <c r="P247" s="42">
        <f t="shared" si="83"/>
        <v>388</v>
      </c>
      <c r="Q247" s="38" t="s">
        <v>449</v>
      </c>
      <c r="R247" s="38"/>
      <c r="S247" s="38"/>
      <c r="T247" s="38"/>
      <c r="U247" s="37">
        <f t="shared" si="81"/>
        <v>1</v>
      </c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43"/>
      <c r="AH247" s="44"/>
      <c r="AI247" s="45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</row>
    <row r="248" spans="1:86">
      <c r="A248" s="33">
        <v>45702</v>
      </c>
      <c r="B248" s="1" t="s">
        <v>676</v>
      </c>
      <c r="C248" s="1" t="s">
        <v>676</v>
      </c>
      <c r="D248" s="1"/>
      <c r="E248" s="38" t="s">
        <v>29</v>
      </c>
      <c r="F248" s="38">
        <v>90</v>
      </c>
      <c r="G248" s="38" t="s">
        <v>673</v>
      </c>
      <c r="H248" s="38">
        <v>77</v>
      </c>
      <c r="I248" s="38">
        <v>596</v>
      </c>
      <c r="J248" s="11">
        <f t="shared" si="82"/>
        <v>596</v>
      </c>
      <c r="K248" s="5">
        <f t="shared" si="79"/>
        <v>8600.2886002886007</v>
      </c>
      <c r="L248" s="39">
        <v>1</v>
      </c>
      <c r="M248" s="37">
        <f t="shared" si="78"/>
        <v>1</v>
      </c>
      <c r="N248" s="38"/>
      <c r="O248" s="46"/>
      <c r="P248" s="42">
        <f t="shared" si="83"/>
        <v>596</v>
      </c>
      <c r="Q248" s="38" t="s">
        <v>449</v>
      </c>
      <c r="R248" s="38"/>
      <c r="S248" s="38"/>
      <c r="T248" s="38"/>
      <c r="U248" s="37">
        <f t="shared" si="81"/>
        <v>1</v>
      </c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43"/>
      <c r="AH248" s="44"/>
      <c r="AI248" s="45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</row>
    <row r="249" spans="1:86">
      <c r="A249" s="33">
        <v>45739</v>
      </c>
      <c r="B249" s="1" t="s">
        <v>677</v>
      </c>
      <c r="C249" s="1" t="s">
        <v>677</v>
      </c>
      <c r="D249" s="1"/>
      <c r="E249" s="38" t="s">
        <v>29</v>
      </c>
      <c r="F249" s="38">
        <v>90</v>
      </c>
      <c r="G249" s="38" t="s">
        <v>673</v>
      </c>
      <c r="H249" s="38">
        <v>83</v>
      </c>
      <c r="I249" s="38">
        <v>590</v>
      </c>
      <c r="J249" s="11">
        <f t="shared" si="82"/>
        <v>2360</v>
      </c>
      <c r="K249" s="5">
        <f t="shared" ref="K249:K268" si="84">+J249/(F249*H249*10^-5)</f>
        <v>31593.038821954484</v>
      </c>
      <c r="L249" s="39">
        <v>4</v>
      </c>
      <c r="M249" s="37">
        <f t="shared" ref="M249:M268" si="85">+L249-X249-Z249-AD249-AB249-AF249-AH249-AJ249-AL249-AO249-AQ249-AS249-AU249-AW249-AY249-BA249-BC249-BE249-BG249-BI249-BK249-BM249-BO249-BQ249-BS249-BU249-BW249-BY249-CA249-CC249-CE249-CG249</f>
        <v>4</v>
      </c>
      <c r="N249" s="38"/>
      <c r="O249" s="46"/>
      <c r="P249" s="42">
        <f t="shared" si="83"/>
        <v>2360</v>
      </c>
      <c r="Q249" s="38" t="s">
        <v>573</v>
      </c>
      <c r="R249" s="38"/>
      <c r="S249" s="38"/>
      <c r="T249" s="38"/>
      <c r="U249" s="37">
        <f t="shared" si="81"/>
        <v>4</v>
      </c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43"/>
      <c r="AH249" s="44"/>
      <c r="AI249" s="45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</row>
    <row r="250" spans="1:86">
      <c r="A250" s="33">
        <v>45485</v>
      </c>
      <c r="B250" s="1" t="s">
        <v>678</v>
      </c>
      <c r="C250" s="1" t="s">
        <v>678</v>
      </c>
      <c r="D250" s="1">
        <f>127.5/2</f>
        <v>63.75</v>
      </c>
      <c r="E250" s="38" t="s">
        <v>99</v>
      </c>
      <c r="F250" s="38">
        <v>180</v>
      </c>
      <c r="G250" s="38" t="s">
        <v>679</v>
      </c>
      <c r="H250" s="38">
        <v>72.5</v>
      </c>
      <c r="I250" s="38">
        <v>640</v>
      </c>
      <c r="J250" s="11">
        <f t="shared" si="82"/>
        <v>640</v>
      </c>
      <c r="K250" s="5">
        <f t="shared" si="84"/>
        <v>4904.2145593869727</v>
      </c>
      <c r="L250" s="39">
        <v>1</v>
      </c>
      <c r="M250" s="37">
        <f t="shared" si="85"/>
        <v>1</v>
      </c>
      <c r="N250" s="38"/>
      <c r="O250" s="46"/>
      <c r="P250" s="42">
        <f t="shared" si="83"/>
        <v>640</v>
      </c>
      <c r="Q250" s="38" t="s">
        <v>680</v>
      </c>
      <c r="R250" s="38"/>
      <c r="S250" s="38"/>
      <c r="T250" s="38"/>
      <c r="U250" s="37">
        <f t="shared" si="81"/>
        <v>1</v>
      </c>
      <c r="V250" s="38">
        <v>4</v>
      </c>
      <c r="W250" s="38" t="s">
        <v>681</v>
      </c>
      <c r="X250" s="38"/>
      <c r="Y250" s="38"/>
      <c r="Z250" s="38"/>
      <c r="AA250" s="38"/>
      <c r="AB250" s="38"/>
      <c r="AC250" s="38"/>
      <c r="AD250" s="38"/>
      <c r="AE250" s="38"/>
      <c r="AF250" s="38"/>
      <c r="AG250" s="43"/>
      <c r="AH250" s="44"/>
      <c r="AI250" s="45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</row>
    <row r="251" spans="1:86">
      <c r="A251" s="33">
        <v>45776</v>
      </c>
      <c r="B251" s="1" t="s">
        <v>682</v>
      </c>
      <c r="C251" s="1" t="s">
        <v>682</v>
      </c>
      <c r="D251" s="1"/>
      <c r="E251" s="38" t="s">
        <v>41</v>
      </c>
      <c r="F251" s="38">
        <v>65</v>
      </c>
      <c r="G251" s="38" t="s">
        <v>683</v>
      </c>
      <c r="H251" s="38">
        <v>55</v>
      </c>
      <c r="I251" s="38">
        <f>12499/36</f>
        <v>347.19444444444446</v>
      </c>
      <c r="J251" s="11">
        <f t="shared" si="82"/>
        <v>8332.6666666666679</v>
      </c>
      <c r="K251" s="5">
        <f t="shared" si="84"/>
        <v>233081.5850815851</v>
      </c>
      <c r="L251" s="39">
        <v>24</v>
      </c>
      <c r="M251" s="37">
        <f t="shared" si="85"/>
        <v>24</v>
      </c>
      <c r="N251" s="38"/>
      <c r="O251" s="46"/>
      <c r="P251" s="42">
        <f t="shared" si="83"/>
        <v>8332.6666666666679</v>
      </c>
      <c r="Q251" s="38"/>
      <c r="R251" s="38"/>
      <c r="S251" s="38"/>
      <c r="T251" s="38"/>
      <c r="U251" s="37">
        <f t="shared" si="81"/>
        <v>24</v>
      </c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43"/>
      <c r="AH251" s="44"/>
      <c r="AI251" s="45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</row>
    <row r="252" spans="1:86">
      <c r="A252" s="33">
        <v>45776</v>
      </c>
      <c r="B252" s="1" t="s">
        <v>684</v>
      </c>
      <c r="C252" s="1" t="s">
        <v>684</v>
      </c>
      <c r="D252" s="1"/>
      <c r="E252" s="38" t="s">
        <v>41</v>
      </c>
      <c r="F252" s="38">
        <v>65</v>
      </c>
      <c r="G252" s="38" t="s">
        <v>683</v>
      </c>
      <c r="H252" s="38">
        <v>52</v>
      </c>
      <c r="I252" s="38">
        <f>12356/38</f>
        <v>325.15789473684208</v>
      </c>
      <c r="J252" s="11">
        <f t="shared" si="82"/>
        <v>3901.894736842105</v>
      </c>
      <c r="K252" s="5">
        <f t="shared" si="84"/>
        <v>115440.67268763622</v>
      </c>
      <c r="L252" s="39">
        <v>12</v>
      </c>
      <c r="M252" s="37">
        <f t="shared" si="85"/>
        <v>12</v>
      </c>
      <c r="N252" s="38"/>
      <c r="O252" s="46"/>
      <c r="P252" s="42">
        <f t="shared" si="83"/>
        <v>3901.894736842105</v>
      </c>
      <c r="Q252" s="38"/>
      <c r="R252" s="38"/>
      <c r="S252" s="38"/>
      <c r="T252" s="38"/>
      <c r="U252" s="37">
        <f t="shared" si="81"/>
        <v>12</v>
      </c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43"/>
      <c r="AH252" s="44"/>
      <c r="AI252" s="45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</row>
    <row r="253" spans="1:86">
      <c r="A253" s="33">
        <v>45776</v>
      </c>
      <c r="B253" s="1" t="s">
        <v>685</v>
      </c>
      <c r="C253" s="1" t="s">
        <v>685</v>
      </c>
      <c r="D253" s="1"/>
      <c r="E253" s="38" t="s">
        <v>41</v>
      </c>
      <c r="F253" s="38">
        <v>65</v>
      </c>
      <c r="G253" s="38" t="s">
        <v>683</v>
      </c>
      <c r="H253" s="38">
        <v>50</v>
      </c>
      <c r="I253" s="38">
        <f>12207/39</f>
        <v>313</v>
      </c>
      <c r="J253" s="11">
        <f t="shared" si="82"/>
        <v>12207</v>
      </c>
      <c r="K253" s="5">
        <f t="shared" si="84"/>
        <v>375600</v>
      </c>
      <c r="L253" s="39">
        <v>39</v>
      </c>
      <c r="M253" s="37">
        <f t="shared" si="85"/>
        <v>39</v>
      </c>
      <c r="N253" s="38"/>
      <c r="O253" s="46"/>
      <c r="P253" s="42">
        <f t="shared" si="83"/>
        <v>12207</v>
      </c>
      <c r="Q253" s="38"/>
      <c r="R253" s="38"/>
      <c r="S253" s="38"/>
      <c r="T253" s="38"/>
      <c r="U253" s="37">
        <f t="shared" si="81"/>
        <v>39</v>
      </c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43"/>
      <c r="AH253" s="44"/>
      <c r="AI253" s="45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/>
      <c r="BZ253" s="38"/>
      <c r="CA253" s="38"/>
      <c r="CB253" s="38"/>
      <c r="CC253" s="38"/>
      <c r="CD253" s="38"/>
      <c r="CE253" s="38"/>
      <c r="CF253" s="38"/>
      <c r="CG253" s="38"/>
      <c r="CH253" s="38"/>
    </row>
    <row r="254" spans="1:86">
      <c r="A254" s="33">
        <v>45776</v>
      </c>
      <c r="B254" s="1" t="s">
        <v>686</v>
      </c>
      <c r="C254" s="1" t="s">
        <v>686</v>
      </c>
      <c r="D254" s="1"/>
      <c r="E254" s="38" t="s">
        <v>41</v>
      </c>
      <c r="F254" s="38">
        <v>65</v>
      </c>
      <c r="G254" s="38" t="s">
        <v>683</v>
      </c>
      <c r="H254" s="38">
        <v>46</v>
      </c>
      <c r="I254" s="38">
        <f>12236/42</f>
        <v>291.33333333333331</v>
      </c>
      <c r="J254" s="11">
        <f t="shared" si="82"/>
        <v>12236</v>
      </c>
      <c r="K254" s="5">
        <f t="shared" si="84"/>
        <v>409230.76923076919</v>
      </c>
      <c r="L254" s="39">
        <v>42</v>
      </c>
      <c r="M254" s="37">
        <f t="shared" si="85"/>
        <v>42</v>
      </c>
      <c r="N254" s="38"/>
      <c r="O254" s="46"/>
      <c r="P254" s="42">
        <f t="shared" si="83"/>
        <v>12236</v>
      </c>
      <c r="Q254" s="38"/>
      <c r="R254" s="38"/>
      <c r="S254" s="38"/>
      <c r="T254" s="38"/>
      <c r="U254" s="37">
        <f t="shared" si="81"/>
        <v>42</v>
      </c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43"/>
      <c r="AH254" s="44"/>
      <c r="AI254" s="45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</row>
    <row r="255" spans="1:86">
      <c r="A255" s="33">
        <v>45779</v>
      </c>
      <c r="B255" s="1" t="s">
        <v>383</v>
      </c>
      <c r="C255" s="1" t="s">
        <v>383</v>
      </c>
      <c r="D255" s="1"/>
      <c r="E255" s="38" t="s">
        <v>83</v>
      </c>
      <c r="F255" s="38">
        <v>100</v>
      </c>
      <c r="G255" s="38" t="s">
        <v>259</v>
      </c>
      <c r="H255" s="38">
        <v>90</v>
      </c>
      <c r="I255" s="38">
        <f>1080/2</f>
        <v>540</v>
      </c>
      <c r="J255" s="11">
        <f t="shared" si="82"/>
        <v>540</v>
      </c>
      <c r="K255" s="5">
        <f t="shared" si="84"/>
        <v>5999.9999999999991</v>
      </c>
      <c r="L255" s="39">
        <v>1</v>
      </c>
      <c r="M255" s="37">
        <f t="shared" si="85"/>
        <v>1</v>
      </c>
      <c r="N255" s="38"/>
      <c r="O255" s="46"/>
      <c r="P255" s="42">
        <f t="shared" si="83"/>
        <v>540</v>
      </c>
      <c r="Q255" s="38"/>
      <c r="R255" s="38"/>
      <c r="S255" s="38"/>
      <c r="T255" s="38"/>
      <c r="U255" s="37">
        <f t="shared" si="81"/>
        <v>1</v>
      </c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43"/>
      <c r="AH255" s="44"/>
      <c r="AI255" s="45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  <c r="BS255" s="38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</row>
    <row r="256" spans="1:86">
      <c r="A256" s="33">
        <v>45470</v>
      </c>
      <c r="B256" s="1" t="s">
        <v>687</v>
      </c>
      <c r="C256" s="1" t="s">
        <v>688</v>
      </c>
      <c r="D256" s="1"/>
      <c r="E256" s="38" t="s">
        <v>29</v>
      </c>
      <c r="F256" s="38">
        <v>160</v>
      </c>
      <c r="G256" s="38" t="s">
        <v>47</v>
      </c>
      <c r="H256" s="38">
        <v>59</v>
      </c>
      <c r="I256" s="38">
        <v>110</v>
      </c>
      <c r="J256" s="11">
        <f t="shared" si="82"/>
        <v>110</v>
      </c>
      <c r="K256" s="5">
        <f t="shared" si="84"/>
        <v>1165.2542372881355</v>
      </c>
      <c r="L256" s="39">
        <v>1</v>
      </c>
      <c r="M256" s="37">
        <f t="shared" si="85"/>
        <v>1</v>
      </c>
      <c r="N256" s="38"/>
      <c r="O256" s="46"/>
      <c r="P256" s="42">
        <f t="shared" si="83"/>
        <v>110</v>
      </c>
      <c r="Q256" s="38" t="s">
        <v>485</v>
      </c>
      <c r="R256" s="38"/>
      <c r="S256" s="38"/>
      <c r="T256" s="38"/>
      <c r="U256" s="37">
        <f t="shared" si="81"/>
        <v>1</v>
      </c>
      <c r="V256" s="38">
        <v>3</v>
      </c>
      <c r="W256" s="38" t="s">
        <v>689</v>
      </c>
      <c r="X256" s="38"/>
      <c r="Y256" s="38"/>
      <c r="Z256" s="38"/>
      <c r="AA256" s="38"/>
      <c r="AB256" s="38"/>
      <c r="AC256" s="38"/>
      <c r="AD256" s="38"/>
      <c r="AE256" s="38"/>
      <c r="AF256" s="38"/>
      <c r="AG256" s="43"/>
      <c r="AH256" s="44"/>
      <c r="AI256" s="45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</row>
    <row r="257" spans="1:86">
      <c r="A257" s="33">
        <v>45471</v>
      </c>
      <c r="B257" s="1" t="s">
        <v>690</v>
      </c>
      <c r="C257" s="1" t="s">
        <v>691</v>
      </c>
      <c r="D257" s="1"/>
      <c r="E257" s="38" t="s">
        <v>29</v>
      </c>
      <c r="F257" s="38">
        <v>90</v>
      </c>
      <c r="G257" s="38" t="s">
        <v>47</v>
      </c>
      <c r="H257" s="38">
        <v>45</v>
      </c>
      <c r="I257" s="38">
        <v>300</v>
      </c>
      <c r="J257" s="11">
        <f t="shared" si="82"/>
        <v>300</v>
      </c>
      <c r="K257" s="5">
        <f t="shared" si="84"/>
        <v>7407.4074074074069</v>
      </c>
      <c r="L257" s="39">
        <v>1</v>
      </c>
      <c r="M257" s="37">
        <f t="shared" si="85"/>
        <v>1</v>
      </c>
      <c r="N257" s="38"/>
      <c r="O257" s="46"/>
      <c r="P257" s="42">
        <f t="shared" si="83"/>
        <v>300</v>
      </c>
      <c r="Q257" s="38" t="s">
        <v>485</v>
      </c>
      <c r="R257" s="38"/>
      <c r="S257" s="38"/>
      <c r="T257" s="38"/>
      <c r="U257" s="37">
        <f t="shared" si="81"/>
        <v>1</v>
      </c>
      <c r="V257" s="38">
        <v>3</v>
      </c>
      <c r="W257" s="38" t="s">
        <v>692</v>
      </c>
      <c r="X257" s="38"/>
      <c r="Y257" s="38"/>
      <c r="Z257" s="38"/>
      <c r="AA257" s="38"/>
      <c r="AB257" s="38"/>
      <c r="AC257" s="38"/>
      <c r="AD257" s="38"/>
      <c r="AE257" s="38"/>
      <c r="AF257" s="38"/>
      <c r="AG257" s="43"/>
      <c r="AH257" s="44"/>
      <c r="AI257" s="45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</row>
    <row r="258" spans="1:86">
      <c r="A258" s="33">
        <v>45474</v>
      </c>
      <c r="B258" s="1" t="s">
        <v>693</v>
      </c>
      <c r="C258" s="1" t="s">
        <v>693</v>
      </c>
      <c r="D258" s="1"/>
      <c r="E258" s="38" t="s">
        <v>29</v>
      </c>
      <c r="F258" s="38">
        <v>130</v>
      </c>
      <c r="G258" s="38" t="s">
        <v>47</v>
      </c>
      <c r="H258" s="38">
        <v>73</v>
      </c>
      <c r="I258" s="38">
        <v>560</v>
      </c>
      <c r="J258" s="11">
        <f t="shared" si="82"/>
        <v>560</v>
      </c>
      <c r="K258" s="5">
        <f t="shared" si="84"/>
        <v>5900.9483667017903</v>
      </c>
      <c r="L258" s="39">
        <v>1</v>
      </c>
      <c r="M258" s="37">
        <f t="shared" si="85"/>
        <v>1</v>
      </c>
      <c r="N258" s="38"/>
      <c r="O258" s="46"/>
      <c r="P258" s="42">
        <f t="shared" si="83"/>
        <v>560</v>
      </c>
      <c r="Q258" s="38" t="s">
        <v>485</v>
      </c>
      <c r="R258" s="38"/>
      <c r="S258" s="38"/>
      <c r="T258" s="38"/>
      <c r="U258" s="37">
        <f t="shared" si="81"/>
        <v>1</v>
      </c>
      <c r="V258" s="38">
        <v>3</v>
      </c>
      <c r="W258" s="38" t="s">
        <v>638</v>
      </c>
      <c r="X258" s="38"/>
      <c r="Y258" s="38"/>
      <c r="Z258" s="38"/>
      <c r="AA258" s="38"/>
      <c r="AB258" s="38"/>
      <c r="AC258" s="38"/>
      <c r="AD258" s="38"/>
      <c r="AE258" s="38"/>
      <c r="AF258" s="38"/>
      <c r="AG258" s="43"/>
      <c r="AH258" s="44"/>
      <c r="AI258" s="45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</row>
    <row r="259" spans="1:86">
      <c r="A259" s="33">
        <v>45475</v>
      </c>
      <c r="B259" s="1" t="s">
        <v>687</v>
      </c>
      <c r="C259" s="1" t="s">
        <v>688</v>
      </c>
      <c r="D259" s="1"/>
      <c r="E259" s="38" t="s">
        <v>29</v>
      </c>
      <c r="F259" s="38">
        <v>160</v>
      </c>
      <c r="G259" s="38" t="s">
        <v>47</v>
      </c>
      <c r="H259" s="38">
        <v>59</v>
      </c>
      <c r="I259" s="38">
        <v>180</v>
      </c>
      <c r="J259" s="11">
        <f t="shared" si="82"/>
        <v>180</v>
      </c>
      <c r="K259" s="5">
        <f t="shared" si="84"/>
        <v>1906.7796610169489</v>
      </c>
      <c r="L259" s="39">
        <v>1</v>
      </c>
      <c r="M259" s="37">
        <f t="shared" si="85"/>
        <v>1</v>
      </c>
      <c r="N259" s="38"/>
      <c r="O259" s="46"/>
      <c r="P259" s="42">
        <f t="shared" si="83"/>
        <v>180</v>
      </c>
      <c r="Q259" s="38" t="s">
        <v>485</v>
      </c>
      <c r="R259" s="38"/>
      <c r="S259" s="38"/>
      <c r="T259" s="38"/>
      <c r="U259" s="37">
        <f t="shared" si="81"/>
        <v>1</v>
      </c>
      <c r="V259" s="38">
        <v>3</v>
      </c>
      <c r="W259" s="38" t="s">
        <v>624</v>
      </c>
      <c r="X259" s="38"/>
      <c r="Y259" s="38"/>
      <c r="Z259" s="38"/>
      <c r="AA259" s="38"/>
      <c r="AB259" s="38"/>
      <c r="AC259" s="38"/>
      <c r="AD259" s="38"/>
      <c r="AE259" s="38"/>
      <c r="AF259" s="38"/>
      <c r="AG259" s="43"/>
      <c r="AH259" s="44"/>
      <c r="AI259" s="45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</row>
    <row r="260" spans="1:86">
      <c r="A260" s="33">
        <v>45476</v>
      </c>
      <c r="B260" s="1" t="s">
        <v>135</v>
      </c>
      <c r="C260" s="1" t="s">
        <v>136</v>
      </c>
      <c r="D260" s="1"/>
      <c r="E260" s="38" t="s">
        <v>29</v>
      </c>
      <c r="F260" s="38">
        <v>160</v>
      </c>
      <c r="G260" s="38" t="s">
        <v>47</v>
      </c>
      <c r="H260" s="38">
        <v>109</v>
      </c>
      <c r="I260" s="38">
        <v>872</v>
      </c>
      <c r="J260" s="11">
        <f t="shared" si="82"/>
        <v>2616</v>
      </c>
      <c r="K260" s="5">
        <f t="shared" si="84"/>
        <v>14999.999999999998</v>
      </c>
      <c r="L260" s="39">
        <v>3</v>
      </c>
      <c r="M260" s="37">
        <f t="shared" si="85"/>
        <v>3</v>
      </c>
      <c r="N260" s="38"/>
      <c r="O260" s="46"/>
      <c r="P260" s="42">
        <f t="shared" ref="P260:P319" si="86">+J260-O260</f>
        <v>2616</v>
      </c>
      <c r="Q260" s="38"/>
      <c r="R260" s="38"/>
      <c r="S260" s="38"/>
      <c r="T260" s="38"/>
      <c r="U260" s="37">
        <f t="shared" si="81"/>
        <v>3</v>
      </c>
      <c r="V260" s="38">
        <v>4</v>
      </c>
      <c r="W260" s="38" t="s">
        <v>452</v>
      </c>
      <c r="X260" s="38"/>
      <c r="Y260" s="38"/>
      <c r="Z260" s="38"/>
      <c r="AA260" s="38"/>
      <c r="AB260" s="38"/>
      <c r="AC260" s="38"/>
      <c r="AD260" s="38"/>
      <c r="AE260" s="38"/>
      <c r="AF260" s="38"/>
      <c r="AG260" s="43"/>
      <c r="AH260" s="44"/>
      <c r="AI260" s="45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</row>
    <row r="261" spans="1:86" ht="28.8">
      <c r="A261" s="33">
        <v>45551</v>
      </c>
      <c r="B261" s="1" t="s">
        <v>694</v>
      </c>
      <c r="C261" s="1" t="s">
        <v>695</v>
      </c>
      <c r="D261" s="1" t="s">
        <v>696</v>
      </c>
      <c r="E261" s="38" t="s">
        <v>29</v>
      </c>
      <c r="F261" s="38">
        <v>160</v>
      </c>
      <c r="G261" s="38" t="s">
        <v>47</v>
      </c>
      <c r="H261" s="38">
        <v>224</v>
      </c>
      <c r="I261" s="38">
        <v>700</v>
      </c>
      <c r="J261" s="11">
        <f t="shared" si="82"/>
        <v>700</v>
      </c>
      <c r="K261" s="5">
        <f t="shared" si="84"/>
        <v>1953.1249999999998</v>
      </c>
      <c r="L261" s="39">
        <v>1</v>
      </c>
      <c r="M261" s="37">
        <f t="shared" si="85"/>
        <v>1</v>
      </c>
      <c r="N261" s="38"/>
      <c r="O261" s="46"/>
      <c r="P261" s="42">
        <f t="shared" si="86"/>
        <v>700</v>
      </c>
      <c r="Q261" s="38" t="s">
        <v>485</v>
      </c>
      <c r="R261" s="38"/>
      <c r="S261" s="38"/>
      <c r="T261" s="38"/>
      <c r="U261" s="37">
        <f t="shared" si="81"/>
        <v>1</v>
      </c>
      <c r="V261" s="38">
        <v>4</v>
      </c>
      <c r="W261" s="38" t="s">
        <v>697</v>
      </c>
      <c r="X261" s="38"/>
      <c r="Y261" s="38"/>
      <c r="Z261" s="38"/>
      <c r="AA261" s="38"/>
      <c r="AB261" s="38"/>
      <c r="AC261" s="38"/>
      <c r="AD261" s="38"/>
      <c r="AE261" s="38"/>
      <c r="AF261" s="38"/>
      <c r="AG261" s="43"/>
      <c r="AH261" s="44"/>
      <c r="AI261" s="45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</row>
    <row r="262" spans="1:86">
      <c r="A262" s="33">
        <v>45551</v>
      </c>
      <c r="B262" s="1" t="s">
        <v>698</v>
      </c>
      <c r="C262" s="1" t="s">
        <v>698</v>
      </c>
      <c r="D262" s="1"/>
      <c r="E262" s="38" t="s">
        <v>29</v>
      </c>
      <c r="F262" s="38">
        <v>160</v>
      </c>
      <c r="G262" s="38" t="s">
        <v>47</v>
      </c>
      <c r="H262" s="38">
        <v>68</v>
      </c>
      <c r="I262" s="38">
        <v>100</v>
      </c>
      <c r="J262" s="11">
        <f t="shared" si="82"/>
        <v>100</v>
      </c>
      <c r="K262" s="5">
        <f t="shared" si="84"/>
        <v>919.11764705882342</v>
      </c>
      <c r="L262" s="39">
        <v>1</v>
      </c>
      <c r="M262" s="37">
        <f t="shared" si="85"/>
        <v>1</v>
      </c>
      <c r="N262" s="38"/>
      <c r="O262" s="46"/>
      <c r="P262" s="42">
        <f t="shared" si="86"/>
        <v>100</v>
      </c>
      <c r="Q262" s="38" t="s">
        <v>485</v>
      </c>
      <c r="R262" s="38"/>
      <c r="S262" s="38"/>
      <c r="T262" s="38"/>
      <c r="U262" s="37">
        <f t="shared" si="81"/>
        <v>1</v>
      </c>
      <c r="V262" s="38">
        <v>3</v>
      </c>
      <c r="W262" s="38" t="s">
        <v>699</v>
      </c>
      <c r="X262" s="38"/>
      <c r="Y262" s="38"/>
      <c r="Z262" s="38"/>
      <c r="AA262" s="38"/>
      <c r="AB262" s="38"/>
      <c r="AC262" s="38"/>
      <c r="AD262" s="38"/>
      <c r="AE262" s="38"/>
      <c r="AF262" s="38"/>
      <c r="AG262" s="43"/>
      <c r="AH262" s="44"/>
      <c r="AI262" s="45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</row>
    <row r="263" spans="1:86">
      <c r="A263" s="33">
        <v>45551</v>
      </c>
      <c r="B263" s="1" t="s">
        <v>700</v>
      </c>
      <c r="C263" s="1" t="s">
        <v>701</v>
      </c>
      <c r="D263" s="1"/>
      <c r="E263" s="38" t="s">
        <v>29</v>
      </c>
      <c r="F263" s="38">
        <v>160</v>
      </c>
      <c r="G263" s="38" t="s">
        <v>47</v>
      </c>
      <c r="H263" s="38">
        <v>79</v>
      </c>
      <c r="I263" s="38">
        <v>280</v>
      </c>
      <c r="J263" s="11">
        <f t="shared" si="82"/>
        <v>280</v>
      </c>
      <c r="K263" s="5">
        <f t="shared" si="84"/>
        <v>2215.1898734177212</v>
      </c>
      <c r="L263" s="39">
        <v>1</v>
      </c>
      <c r="M263" s="37">
        <f t="shared" si="85"/>
        <v>1</v>
      </c>
      <c r="N263" s="38"/>
      <c r="O263" s="46"/>
      <c r="P263" s="42">
        <f t="shared" si="86"/>
        <v>280</v>
      </c>
      <c r="Q263" s="38" t="s">
        <v>485</v>
      </c>
      <c r="R263" s="38"/>
      <c r="S263" s="38"/>
      <c r="T263" s="38"/>
      <c r="U263" s="37">
        <f t="shared" si="81"/>
        <v>1</v>
      </c>
      <c r="V263" s="38">
        <v>3</v>
      </c>
      <c r="W263" s="38" t="s">
        <v>699</v>
      </c>
      <c r="X263" s="38"/>
      <c r="Y263" s="38"/>
      <c r="Z263" s="38"/>
      <c r="AA263" s="38"/>
      <c r="AB263" s="38"/>
      <c r="AC263" s="38"/>
      <c r="AD263" s="38"/>
      <c r="AE263" s="38"/>
      <c r="AF263" s="38"/>
      <c r="AG263" s="43"/>
      <c r="AH263" s="44"/>
      <c r="AI263" s="45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</row>
    <row r="264" spans="1:86">
      <c r="A264" s="33">
        <v>45562</v>
      </c>
      <c r="B264" s="1"/>
      <c r="C264" s="1"/>
      <c r="D264" s="1"/>
      <c r="E264" s="38" t="s">
        <v>29</v>
      </c>
      <c r="F264" s="38">
        <v>79</v>
      </c>
      <c r="G264" s="38" t="s">
        <v>47</v>
      </c>
      <c r="H264" s="38">
        <v>97</v>
      </c>
      <c r="I264" s="38">
        <v>150</v>
      </c>
      <c r="J264" s="11">
        <f t="shared" si="82"/>
        <v>150</v>
      </c>
      <c r="K264" s="5">
        <f t="shared" si="84"/>
        <v>1957.4579146548349</v>
      </c>
      <c r="L264" s="39">
        <v>2</v>
      </c>
      <c r="M264" s="37">
        <f t="shared" si="85"/>
        <v>2</v>
      </c>
      <c r="N264" s="38"/>
      <c r="O264" s="46"/>
      <c r="P264" s="42">
        <f t="shared" si="86"/>
        <v>150</v>
      </c>
      <c r="Q264" s="38" t="s">
        <v>485</v>
      </c>
      <c r="R264" s="38"/>
      <c r="S264" s="38"/>
      <c r="T264" s="38"/>
      <c r="U264" s="37">
        <f t="shared" si="81"/>
        <v>2</v>
      </c>
      <c r="V264" s="38">
        <v>3</v>
      </c>
      <c r="W264" s="38" t="s">
        <v>640</v>
      </c>
      <c r="X264" s="38"/>
      <c r="Y264" s="38"/>
      <c r="Z264" s="38"/>
      <c r="AA264" s="38"/>
      <c r="AB264" s="38"/>
      <c r="AC264" s="38"/>
      <c r="AD264" s="38"/>
      <c r="AE264" s="38"/>
      <c r="AF264" s="38"/>
      <c r="AG264" s="43"/>
      <c r="AH264" s="44"/>
      <c r="AI264" s="45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</row>
    <row r="265" spans="1:86">
      <c r="A265" s="33">
        <v>45588</v>
      </c>
      <c r="B265" s="1" t="s">
        <v>45</v>
      </c>
      <c r="C265" s="1" t="s">
        <v>46</v>
      </c>
      <c r="D265" s="1"/>
      <c r="E265" s="38" t="s">
        <v>29</v>
      </c>
      <c r="F265" s="38">
        <v>38</v>
      </c>
      <c r="G265" s="38" t="s">
        <v>47</v>
      </c>
      <c r="H265" s="38">
        <v>212</v>
      </c>
      <c r="I265" s="38">
        <v>1368</v>
      </c>
      <c r="J265" s="11">
        <f t="shared" si="82"/>
        <v>1368</v>
      </c>
      <c r="K265" s="5">
        <f t="shared" si="84"/>
        <v>16981.132075471698</v>
      </c>
      <c r="L265" s="39">
        <v>1</v>
      </c>
      <c r="M265" s="37">
        <f t="shared" si="85"/>
        <v>1</v>
      </c>
      <c r="N265" s="38"/>
      <c r="O265" s="46"/>
      <c r="P265" s="42">
        <f t="shared" si="86"/>
        <v>1368</v>
      </c>
      <c r="Q265" s="38"/>
      <c r="R265" s="38"/>
      <c r="S265" s="38"/>
      <c r="T265" s="38"/>
      <c r="U265" s="37">
        <f t="shared" si="81"/>
        <v>1</v>
      </c>
      <c r="V265" s="38">
        <v>4</v>
      </c>
      <c r="W265" s="38" t="s">
        <v>702</v>
      </c>
      <c r="X265" s="38"/>
      <c r="Y265" s="38"/>
      <c r="Z265" s="38"/>
      <c r="AA265" s="38"/>
      <c r="AB265" s="38"/>
      <c r="AC265" s="38"/>
      <c r="AD265" s="38"/>
      <c r="AE265" s="38"/>
      <c r="AF265" s="38"/>
      <c r="AG265" s="43"/>
      <c r="AH265" s="44"/>
      <c r="AI265" s="45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</row>
    <row r="266" spans="1:86" ht="28.8">
      <c r="A266" s="33"/>
      <c r="B266" s="1"/>
      <c r="C266" s="1"/>
      <c r="D266" s="1"/>
      <c r="E266" s="38" t="s">
        <v>29</v>
      </c>
      <c r="F266" s="38">
        <v>38</v>
      </c>
      <c r="G266" s="38" t="s">
        <v>47</v>
      </c>
      <c r="H266" s="38">
        <v>142</v>
      </c>
      <c r="I266" s="38">
        <f>+I265*142/212</f>
        <v>916.30188679245282</v>
      </c>
      <c r="J266" s="11">
        <f t="shared" si="82"/>
        <v>916.30188679245282</v>
      </c>
      <c r="K266" s="5">
        <f t="shared" si="84"/>
        <v>16981.132075471698</v>
      </c>
      <c r="L266" s="39">
        <v>1</v>
      </c>
      <c r="M266" s="37">
        <f t="shared" si="85"/>
        <v>1</v>
      </c>
      <c r="N266" s="38"/>
      <c r="O266" s="46"/>
      <c r="P266" s="42">
        <f t="shared" si="86"/>
        <v>916.30188679245282</v>
      </c>
      <c r="Q266" s="38" t="s">
        <v>445</v>
      </c>
      <c r="R266" s="38"/>
      <c r="S266" s="38"/>
      <c r="T266" s="38"/>
      <c r="U266" s="37">
        <f t="shared" si="81"/>
        <v>1</v>
      </c>
      <c r="V266" s="38">
        <v>4</v>
      </c>
      <c r="W266" s="38" t="s">
        <v>702</v>
      </c>
      <c r="X266" s="38"/>
      <c r="Y266" s="38"/>
      <c r="Z266" s="38"/>
      <c r="AA266" s="38"/>
      <c r="AB266" s="38"/>
      <c r="AC266" s="38"/>
      <c r="AD266" s="38"/>
      <c r="AE266" s="38"/>
      <c r="AF266" s="38"/>
      <c r="AG266" s="43"/>
      <c r="AH266" s="44"/>
      <c r="AI266" s="45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</row>
    <row r="267" spans="1:86">
      <c r="A267" s="33">
        <v>45651</v>
      </c>
      <c r="B267" s="1" t="s">
        <v>703</v>
      </c>
      <c r="C267" s="1" t="s">
        <v>703</v>
      </c>
      <c r="D267" s="1"/>
      <c r="E267" s="38" t="s">
        <v>37</v>
      </c>
      <c r="F267" s="38">
        <v>450</v>
      </c>
      <c r="G267" s="38" t="s">
        <v>704</v>
      </c>
      <c r="H267" s="38">
        <v>99</v>
      </c>
      <c r="I267" s="38">
        <v>1010</v>
      </c>
      <c r="J267" s="11">
        <f t="shared" si="82"/>
        <v>1010</v>
      </c>
      <c r="K267" s="5">
        <f t="shared" si="84"/>
        <v>2267.1156004489335</v>
      </c>
      <c r="L267" s="39">
        <v>1</v>
      </c>
      <c r="M267" s="37">
        <f t="shared" si="85"/>
        <v>1</v>
      </c>
      <c r="N267" s="38"/>
      <c r="O267" s="46"/>
      <c r="P267" s="42">
        <f t="shared" si="86"/>
        <v>1010</v>
      </c>
      <c r="Q267" s="38"/>
      <c r="R267" s="38"/>
      <c r="S267" s="38"/>
      <c r="T267" s="38"/>
      <c r="U267" s="37">
        <f t="shared" si="81"/>
        <v>1</v>
      </c>
      <c r="V267" s="38">
        <v>4</v>
      </c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43"/>
      <c r="AH267" s="44"/>
      <c r="AI267" s="45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</row>
    <row r="268" spans="1:86">
      <c r="A268" s="33">
        <v>45739</v>
      </c>
      <c r="B268" s="1" t="s">
        <v>705</v>
      </c>
      <c r="C268" s="1" t="s">
        <v>706</v>
      </c>
      <c r="D268" s="1"/>
      <c r="E268" s="38" t="s">
        <v>37</v>
      </c>
      <c r="F268" s="38">
        <v>300</v>
      </c>
      <c r="G268" s="38" t="s">
        <v>704</v>
      </c>
      <c r="H268" s="38">
        <v>81</v>
      </c>
      <c r="I268" s="38">
        <v>300</v>
      </c>
      <c r="J268" s="11">
        <f t="shared" si="82"/>
        <v>300</v>
      </c>
      <c r="K268" s="5">
        <f t="shared" si="84"/>
        <v>1234.5679012345679</v>
      </c>
      <c r="L268" s="39">
        <v>1</v>
      </c>
      <c r="M268" s="37">
        <f t="shared" si="85"/>
        <v>1</v>
      </c>
      <c r="N268" s="38"/>
      <c r="O268" s="46"/>
      <c r="P268" s="42">
        <f t="shared" si="86"/>
        <v>300</v>
      </c>
      <c r="Q268" s="38" t="s">
        <v>449</v>
      </c>
      <c r="R268" s="38"/>
      <c r="S268" s="38"/>
      <c r="T268" s="38"/>
      <c r="U268" s="37">
        <f t="shared" si="81"/>
        <v>1</v>
      </c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43"/>
      <c r="AH268" s="44"/>
      <c r="AI268" s="45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</row>
    <row r="269" spans="1:86">
      <c r="A269" s="33">
        <v>45470</v>
      </c>
      <c r="B269" s="1" t="s">
        <v>707</v>
      </c>
      <c r="C269" s="1" t="s">
        <v>707</v>
      </c>
      <c r="D269" s="1"/>
      <c r="E269" s="38" t="s">
        <v>41</v>
      </c>
      <c r="F269" s="38">
        <v>370</v>
      </c>
      <c r="G269" s="38"/>
      <c r="H269" s="38">
        <v>65</v>
      </c>
      <c r="I269" s="38">
        <v>300</v>
      </c>
      <c r="J269" s="11">
        <f t="shared" si="82"/>
        <v>300</v>
      </c>
      <c r="K269" s="5">
        <f t="shared" ref="K269:K285" si="87">+J269/(F269*H269*10^-5)</f>
        <v>1247.4012474012472</v>
      </c>
      <c r="L269" s="39">
        <v>1</v>
      </c>
      <c r="M269" s="37">
        <f t="shared" ref="M269:M321" si="88">+L269-X269-Z269-AD269-AB269-AF269-AH269-AJ269-AL269-AO269-AQ269-AS269-AU269-AW269-AY269-BA269-BC269-BE269-BG269-BI269-BK269-BM269-BO269-BQ269-BS269-BU269-BW269-BY269-CA269-CC269-CE269-CG269</f>
        <v>1</v>
      </c>
      <c r="N269" s="38"/>
      <c r="O269" s="46"/>
      <c r="P269" s="42">
        <f t="shared" si="86"/>
        <v>300</v>
      </c>
      <c r="Q269" s="38" t="s">
        <v>485</v>
      </c>
      <c r="R269" s="38"/>
      <c r="S269" s="38"/>
      <c r="T269" s="38"/>
      <c r="U269" s="37">
        <f t="shared" si="81"/>
        <v>1</v>
      </c>
      <c r="V269" s="38">
        <v>3</v>
      </c>
      <c r="W269" s="38">
        <v>2</v>
      </c>
      <c r="X269" s="38"/>
      <c r="Y269" s="38"/>
      <c r="Z269" s="38"/>
      <c r="AA269" s="38"/>
      <c r="AB269" s="38"/>
      <c r="AC269" s="38"/>
      <c r="AD269" s="38"/>
      <c r="AE269" s="38"/>
      <c r="AF269" s="38"/>
      <c r="AG269" s="43"/>
      <c r="AH269" s="44"/>
      <c r="AI269" s="45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</row>
    <row r="270" spans="1:86">
      <c r="A270" s="33">
        <v>45470</v>
      </c>
      <c r="B270" s="1" t="s">
        <v>708</v>
      </c>
      <c r="C270" s="1" t="s">
        <v>709</v>
      </c>
      <c r="D270" s="1"/>
      <c r="E270" s="38" t="s">
        <v>41</v>
      </c>
      <c r="F270" s="38">
        <v>198</v>
      </c>
      <c r="G270" s="38"/>
      <c r="H270" s="38">
        <v>55</v>
      </c>
      <c r="I270" s="38">
        <v>294</v>
      </c>
      <c r="J270" s="11">
        <f t="shared" si="82"/>
        <v>294</v>
      </c>
      <c r="K270" s="5">
        <f t="shared" si="87"/>
        <v>2699.7245179063357</v>
      </c>
      <c r="L270" s="39">
        <v>1</v>
      </c>
      <c r="M270" s="37">
        <f t="shared" si="88"/>
        <v>1</v>
      </c>
      <c r="N270" s="38"/>
      <c r="O270" s="46"/>
      <c r="P270" s="42">
        <f t="shared" si="86"/>
        <v>294</v>
      </c>
      <c r="Q270" s="38" t="s">
        <v>485</v>
      </c>
      <c r="R270" s="38" t="s">
        <v>710</v>
      </c>
      <c r="S270" s="38"/>
      <c r="T270" s="38"/>
      <c r="U270" s="37">
        <f t="shared" si="81"/>
        <v>1</v>
      </c>
      <c r="V270" s="38">
        <v>3</v>
      </c>
      <c r="W270" s="38">
        <v>2</v>
      </c>
      <c r="X270" s="38"/>
      <c r="Y270" s="38"/>
      <c r="Z270" s="38"/>
      <c r="AA270" s="38"/>
      <c r="AB270" s="38"/>
      <c r="AC270" s="38"/>
      <c r="AD270" s="38"/>
      <c r="AE270" s="38"/>
      <c r="AF270" s="38"/>
      <c r="AG270" s="43"/>
      <c r="AH270" s="44"/>
      <c r="AI270" s="45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</row>
    <row r="271" spans="1:86">
      <c r="A271" s="33">
        <v>45470</v>
      </c>
      <c r="B271" s="1" t="s">
        <v>708</v>
      </c>
      <c r="C271" s="1" t="s">
        <v>709</v>
      </c>
      <c r="D271" s="1"/>
      <c r="E271" s="38" t="s">
        <v>41</v>
      </c>
      <c r="F271" s="38">
        <v>198</v>
      </c>
      <c r="G271" s="38"/>
      <c r="H271" s="38">
        <v>55</v>
      </c>
      <c r="I271" s="38">
        <v>294</v>
      </c>
      <c r="J271" s="11">
        <f t="shared" si="82"/>
        <v>294</v>
      </c>
      <c r="K271" s="5">
        <f t="shared" si="87"/>
        <v>2699.7245179063357</v>
      </c>
      <c r="L271" s="39">
        <v>1</v>
      </c>
      <c r="M271" s="37">
        <f t="shared" si="88"/>
        <v>1</v>
      </c>
      <c r="N271" s="38"/>
      <c r="O271" s="46"/>
      <c r="P271" s="42">
        <f t="shared" si="86"/>
        <v>294</v>
      </c>
      <c r="Q271" s="38" t="s">
        <v>485</v>
      </c>
      <c r="R271" s="38" t="s">
        <v>710</v>
      </c>
      <c r="S271" s="38"/>
      <c r="T271" s="38"/>
      <c r="U271" s="37">
        <f t="shared" si="81"/>
        <v>1</v>
      </c>
      <c r="V271" s="38">
        <v>3</v>
      </c>
      <c r="W271" s="38">
        <v>2</v>
      </c>
      <c r="X271" s="38"/>
      <c r="Y271" s="38"/>
      <c r="Z271" s="38"/>
      <c r="AA271" s="38"/>
      <c r="AB271" s="38"/>
      <c r="AC271" s="38"/>
      <c r="AD271" s="38"/>
      <c r="AE271" s="38"/>
      <c r="AF271" s="38"/>
      <c r="AG271" s="43"/>
      <c r="AH271" s="44"/>
      <c r="AI271" s="45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</row>
    <row r="272" spans="1:86">
      <c r="A272" s="33">
        <v>45470</v>
      </c>
      <c r="B272" s="1"/>
      <c r="C272" s="1" t="s">
        <v>711</v>
      </c>
      <c r="D272" s="1"/>
      <c r="E272" s="38" t="s">
        <v>600</v>
      </c>
      <c r="F272" s="38">
        <v>90</v>
      </c>
      <c r="G272" s="38"/>
      <c r="H272" s="38">
        <v>25</v>
      </c>
      <c r="I272" s="38">
        <v>1200</v>
      </c>
      <c r="J272" s="11">
        <f t="shared" si="82"/>
        <v>1200</v>
      </c>
      <c r="K272" s="5">
        <f t="shared" si="87"/>
        <v>53333.333333333328</v>
      </c>
      <c r="L272" s="39">
        <v>9</v>
      </c>
      <c r="M272" s="37">
        <f t="shared" si="88"/>
        <v>9</v>
      </c>
      <c r="N272" s="38"/>
      <c r="O272" s="46"/>
      <c r="P272" s="42">
        <f t="shared" si="86"/>
        <v>1200</v>
      </c>
      <c r="Q272" s="38" t="s">
        <v>485</v>
      </c>
      <c r="R272" s="38"/>
      <c r="S272" s="38"/>
      <c r="T272" s="38" t="s">
        <v>70</v>
      </c>
      <c r="U272" s="37">
        <f t="shared" ref="U272:U333" si="89">+L272-X272-Z272-AD272-AB272-AF272-AH272-AJ272-AL272-AO272-AQ272-AS272-AU272-AW272-AY272-BA272-BC272-BE272-BG272-BI272-BK272-BM272-BO272-BQ272-BS272-BU272-BW272-BY272-CA272-CC272-CE272-CG272</f>
        <v>9</v>
      </c>
      <c r="V272" s="38">
        <v>3</v>
      </c>
      <c r="W272" s="38">
        <v>2</v>
      </c>
      <c r="X272" s="38"/>
      <c r="Y272" s="38"/>
      <c r="Z272" s="38"/>
      <c r="AA272" s="38"/>
      <c r="AB272" s="38"/>
      <c r="AC272" s="38"/>
      <c r="AD272" s="38"/>
      <c r="AE272" s="38"/>
      <c r="AF272" s="38"/>
      <c r="AG272" s="43"/>
      <c r="AH272" s="44"/>
      <c r="AI272" s="45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</row>
    <row r="273" spans="1:86">
      <c r="A273" s="33">
        <v>45470</v>
      </c>
      <c r="B273" s="1"/>
      <c r="C273" s="1" t="s">
        <v>712</v>
      </c>
      <c r="D273" s="1"/>
      <c r="E273" s="38" t="s">
        <v>92</v>
      </c>
      <c r="F273" s="38">
        <v>80</v>
      </c>
      <c r="G273" s="38"/>
      <c r="H273" s="38">
        <v>104</v>
      </c>
      <c r="I273" s="38">
        <v>840</v>
      </c>
      <c r="J273" s="11">
        <f t="shared" si="82"/>
        <v>840</v>
      </c>
      <c r="K273" s="5">
        <f t="shared" si="87"/>
        <v>10096.153846153846</v>
      </c>
      <c r="L273" s="39">
        <v>1</v>
      </c>
      <c r="M273" s="37">
        <f t="shared" si="88"/>
        <v>1</v>
      </c>
      <c r="N273" s="38"/>
      <c r="O273" s="46"/>
      <c r="P273" s="42">
        <f t="shared" si="86"/>
        <v>840</v>
      </c>
      <c r="Q273" s="38" t="s">
        <v>485</v>
      </c>
      <c r="R273" s="38"/>
      <c r="S273" s="38"/>
      <c r="T273" s="38"/>
      <c r="U273" s="37">
        <f t="shared" si="89"/>
        <v>1</v>
      </c>
      <c r="V273" s="38">
        <v>3</v>
      </c>
      <c r="W273" s="38" t="s">
        <v>454</v>
      </c>
      <c r="X273" s="38"/>
      <c r="Y273" s="38"/>
      <c r="Z273" s="38"/>
      <c r="AA273" s="38"/>
      <c r="AB273" s="38"/>
      <c r="AC273" s="38"/>
      <c r="AD273" s="38"/>
      <c r="AE273" s="38"/>
      <c r="AF273" s="38"/>
      <c r="AG273" s="43"/>
      <c r="AH273" s="44"/>
      <c r="AI273" s="45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</row>
    <row r="274" spans="1:86">
      <c r="A274" s="33">
        <v>45470</v>
      </c>
      <c r="B274" s="1"/>
      <c r="C274" s="1" t="s">
        <v>713</v>
      </c>
      <c r="D274" s="1"/>
      <c r="E274" s="38" t="s">
        <v>99</v>
      </c>
      <c r="F274" s="38">
        <v>80</v>
      </c>
      <c r="G274" s="38"/>
      <c r="H274" s="38">
        <v>65</v>
      </c>
      <c r="I274" s="38">
        <v>570</v>
      </c>
      <c r="J274" s="11">
        <f t="shared" si="82"/>
        <v>570</v>
      </c>
      <c r="K274" s="5">
        <f t="shared" si="87"/>
        <v>10961.538461538461</v>
      </c>
      <c r="L274" s="39">
        <v>1</v>
      </c>
      <c r="M274" s="37">
        <f t="shared" si="88"/>
        <v>1</v>
      </c>
      <c r="N274" s="38"/>
      <c r="O274" s="46"/>
      <c r="P274" s="42">
        <f t="shared" si="86"/>
        <v>570</v>
      </c>
      <c r="Q274" s="38" t="s">
        <v>485</v>
      </c>
      <c r="R274" s="38"/>
      <c r="S274" s="38"/>
      <c r="T274" s="38"/>
      <c r="U274" s="37">
        <f t="shared" si="89"/>
        <v>1</v>
      </c>
      <c r="V274" s="38">
        <v>3</v>
      </c>
      <c r="W274" s="38">
        <v>1</v>
      </c>
      <c r="X274" s="38"/>
      <c r="Y274" s="38"/>
      <c r="Z274" s="38"/>
      <c r="AA274" s="38"/>
      <c r="AB274" s="38"/>
      <c r="AC274" s="38"/>
      <c r="AD274" s="38"/>
      <c r="AE274" s="38"/>
      <c r="AF274" s="38"/>
      <c r="AG274" s="43"/>
      <c r="AH274" s="44"/>
      <c r="AI274" s="45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</row>
    <row r="275" spans="1:86">
      <c r="A275" s="33">
        <v>45470</v>
      </c>
      <c r="B275" s="1" t="s">
        <v>693</v>
      </c>
      <c r="C275" s="1" t="s">
        <v>693</v>
      </c>
      <c r="D275" s="1"/>
      <c r="E275" s="38" t="s">
        <v>29</v>
      </c>
      <c r="F275" s="38">
        <v>130</v>
      </c>
      <c r="G275" s="38" t="s">
        <v>47</v>
      </c>
      <c r="H275" s="38">
        <v>73</v>
      </c>
      <c r="I275" s="38">
        <v>640</v>
      </c>
      <c r="J275" s="11">
        <f t="shared" si="82"/>
        <v>640</v>
      </c>
      <c r="K275" s="5">
        <f t="shared" si="87"/>
        <v>6743.940990516332</v>
      </c>
      <c r="L275" s="39">
        <v>1</v>
      </c>
      <c r="M275" s="37">
        <f t="shared" si="88"/>
        <v>1</v>
      </c>
      <c r="N275" s="38"/>
      <c r="O275" s="46"/>
      <c r="P275" s="42">
        <f t="shared" si="86"/>
        <v>640</v>
      </c>
      <c r="Q275" s="38" t="s">
        <v>485</v>
      </c>
      <c r="R275" s="38"/>
      <c r="S275" s="38"/>
      <c r="T275" s="38" t="s">
        <v>714</v>
      </c>
      <c r="U275" s="37">
        <f t="shared" si="89"/>
        <v>1</v>
      </c>
      <c r="V275" s="38">
        <v>3</v>
      </c>
      <c r="W275" s="38" t="s">
        <v>689</v>
      </c>
      <c r="X275" s="38"/>
      <c r="Y275" s="38"/>
      <c r="Z275" s="38"/>
      <c r="AA275" s="38"/>
      <c r="AB275" s="38"/>
      <c r="AC275" s="38"/>
      <c r="AD275" s="38"/>
      <c r="AE275" s="38"/>
      <c r="AF275" s="38"/>
      <c r="AG275" s="43"/>
      <c r="AH275" s="44"/>
      <c r="AI275" s="45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</row>
    <row r="276" spans="1:86">
      <c r="A276" s="33">
        <v>45471</v>
      </c>
      <c r="B276" s="1"/>
      <c r="C276" s="1"/>
      <c r="D276" s="1"/>
      <c r="E276" s="38" t="s">
        <v>431</v>
      </c>
      <c r="F276" s="38">
        <v>255</v>
      </c>
      <c r="G276" s="38"/>
      <c r="H276" s="38">
        <v>98</v>
      </c>
      <c r="I276" s="38">
        <v>180</v>
      </c>
      <c r="J276" s="11">
        <f t="shared" si="82"/>
        <v>180</v>
      </c>
      <c r="K276" s="5">
        <f t="shared" si="87"/>
        <v>720.28811524609841</v>
      </c>
      <c r="L276" s="39">
        <v>1</v>
      </c>
      <c r="M276" s="37">
        <f t="shared" si="88"/>
        <v>1</v>
      </c>
      <c r="N276" s="38"/>
      <c r="O276" s="46"/>
      <c r="P276" s="42">
        <f t="shared" si="86"/>
        <v>180</v>
      </c>
      <c r="Q276" s="38" t="s">
        <v>485</v>
      </c>
      <c r="R276" s="38"/>
      <c r="S276" s="38"/>
      <c r="T276" s="38"/>
      <c r="U276" s="37">
        <f t="shared" si="89"/>
        <v>1</v>
      </c>
      <c r="V276" s="38">
        <v>3</v>
      </c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43"/>
      <c r="AH276" s="44"/>
      <c r="AI276" s="45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</row>
    <row r="277" spans="1:86">
      <c r="A277" s="33">
        <v>45471</v>
      </c>
      <c r="B277" s="1"/>
      <c r="C277" s="1"/>
      <c r="D277" s="1"/>
      <c r="E277" s="38" t="s">
        <v>29</v>
      </c>
      <c r="F277" s="38">
        <v>40</v>
      </c>
      <c r="G277" s="38"/>
      <c r="H277" s="38">
        <v>41</v>
      </c>
      <c r="I277" s="38">
        <v>340</v>
      </c>
      <c r="J277" s="11">
        <f t="shared" si="82"/>
        <v>340</v>
      </c>
      <c r="K277" s="5">
        <f t="shared" si="87"/>
        <v>20731.707317073167</v>
      </c>
      <c r="L277" s="39">
        <v>1</v>
      </c>
      <c r="M277" s="37">
        <f t="shared" si="88"/>
        <v>1</v>
      </c>
      <c r="N277" s="38"/>
      <c r="O277" s="46"/>
      <c r="P277" s="42">
        <f t="shared" si="86"/>
        <v>340</v>
      </c>
      <c r="Q277" s="38" t="s">
        <v>485</v>
      </c>
      <c r="R277" s="38"/>
      <c r="S277" s="38"/>
      <c r="T277" s="38"/>
      <c r="U277" s="37">
        <f t="shared" si="89"/>
        <v>1</v>
      </c>
      <c r="V277" s="38">
        <v>3</v>
      </c>
      <c r="W277" s="38" t="s">
        <v>29</v>
      </c>
      <c r="X277" s="38"/>
      <c r="Y277" s="38"/>
      <c r="Z277" s="38"/>
      <c r="AA277" s="38"/>
      <c r="AB277" s="38"/>
      <c r="AC277" s="38"/>
      <c r="AD277" s="38"/>
      <c r="AE277" s="38"/>
      <c r="AF277" s="38"/>
      <c r="AG277" s="43"/>
      <c r="AH277" s="44"/>
      <c r="AI277" s="45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</row>
    <row r="278" spans="1:86">
      <c r="A278" s="33">
        <v>45471</v>
      </c>
      <c r="B278" s="1" t="s">
        <v>651</v>
      </c>
      <c r="C278" s="1" t="s">
        <v>651</v>
      </c>
      <c r="D278" s="1"/>
      <c r="E278" s="38" t="s">
        <v>41</v>
      </c>
      <c r="F278" s="38">
        <v>55</v>
      </c>
      <c r="G278" s="38" t="s">
        <v>649</v>
      </c>
      <c r="H278" s="38">
        <v>33</v>
      </c>
      <c r="I278" s="38">
        <v>2024</v>
      </c>
      <c r="J278" s="11">
        <f t="shared" si="82"/>
        <v>2024</v>
      </c>
      <c r="K278" s="5">
        <f t="shared" si="87"/>
        <v>111515.15151515149</v>
      </c>
      <c r="L278" s="39">
        <v>7</v>
      </c>
      <c r="M278" s="37">
        <f t="shared" si="88"/>
        <v>7</v>
      </c>
      <c r="N278" s="38"/>
      <c r="O278" s="46"/>
      <c r="P278" s="42">
        <f t="shared" si="86"/>
        <v>2024</v>
      </c>
      <c r="Q278" s="38" t="s">
        <v>485</v>
      </c>
      <c r="R278" s="38"/>
      <c r="S278" s="38"/>
      <c r="T278" s="38" t="s">
        <v>715</v>
      </c>
      <c r="U278" s="37">
        <f t="shared" si="89"/>
        <v>7</v>
      </c>
      <c r="V278" s="38">
        <v>3</v>
      </c>
      <c r="W278" s="38" t="s">
        <v>655</v>
      </c>
      <c r="X278" s="38"/>
      <c r="Y278" s="38"/>
      <c r="Z278" s="38"/>
      <c r="AA278" s="38"/>
      <c r="AB278" s="38"/>
      <c r="AC278" s="38"/>
      <c r="AD278" s="38"/>
      <c r="AE278" s="38"/>
      <c r="AF278" s="38"/>
      <c r="AG278" s="43"/>
      <c r="AH278" s="44"/>
      <c r="AI278" s="45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</row>
    <row r="279" spans="1:86">
      <c r="A279" s="33">
        <v>45471</v>
      </c>
      <c r="B279" s="1" t="s">
        <v>651</v>
      </c>
      <c r="C279" s="1" t="s">
        <v>651</v>
      </c>
      <c r="D279" s="1"/>
      <c r="E279" s="38" t="s">
        <v>41</v>
      </c>
      <c r="F279" s="38">
        <v>55</v>
      </c>
      <c r="G279" s="38" t="s">
        <v>649</v>
      </c>
      <c r="H279" s="38">
        <v>33</v>
      </c>
      <c r="I279" s="38">
        <v>1900</v>
      </c>
      <c r="J279" s="11">
        <f t="shared" si="82"/>
        <v>1900</v>
      </c>
      <c r="K279" s="5">
        <f t="shared" si="87"/>
        <v>104683.19559228649</v>
      </c>
      <c r="L279" s="39">
        <v>7</v>
      </c>
      <c r="M279" s="37">
        <f t="shared" si="88"/>
        <v>7</v>
      </c>
      <c r="N279" s="38"/>
      <c r="O279" s="46"/>
      <c r="P279" s="42">
        <f t="shared" si="86"/>
        <v>1900</v>
      </c>
      <c r="Q279" s="38" t="s">
        <v>485</v>
      </c>
      <c r="R279" s="38"/>
      <c r="S279" s="38"/>
      <c r="T279" s="38" t="s">
        <v>87</v>
      </c>
      <c r="U279" s="37">
        <f t="shared" si="89"/>
        <v>7</v>
      </c>
      <c r="V279" s="38">
        <v>3</v>
      </c>
      <c r="W279" s="38" t="s">
        <v>655</v>
      </c>
      <c r="X279" s="38"/>
      <c r="Y279" s="38"/>
      <c r="Z279" s="38"/>
      <c r="AA279" s="38"/>
      <c r="AB279" s="38"/>
      <c r="AC279" s="38"/>
      <c r="AD279" s="38"/>
      <c r="AE279" s="38"/>
      <c r="AF279" s="38"/>
      <c r="AG279" s="43"/>
      <c r="AH279" s="44"/>
      <c r="AI279" s="45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</row>
    <row r="280" spans="1:86">
      <c r="A280" s="33">
        <v>45471</v>
      </c>
      <c r="B280" s="1" t="s">
        <v>651</v>
      </c>
      <c r="C280" s="1" t="s">
        <v>651</v>
      </c>
      <c r="D280" s="1"/>
      <c r="E280" s="38" t="s">
        <v>41</v>
      </c>
      <c r="F280" s="38">
        <v>60</v>
      </c>
      <c r="G280" s="38" t="s">
        <v>649</v>
      </c>
      <c r="H280" s="38">
        <v>33</v>
      </c>
      <c r="I280" s="38">
        <v>286</v>
      </c>
      <c r="J280" s="11">
        <f t="shared" si="82"/>
        <v>286</v>
      </c>
      <c r="K280" s="5">
        <f t="shared" si="87"/>
        <v>14444.444444444443</v>
      </c>
      <c r="L280" s="39">
        <v>1</v>
      </c>
      <c r="M280" s="37">
        <f t="shared" si="88"/>
        <v>1</v>
      </c>
      <c r="N280" s="38"/>
      <c r="O280" s="46"/>
      <c r="P280" s="42">
        <f t="shared" si="86"/>
        <v>286</v>
      </c>
      <c r="Q280" s="38" t="s">
        <v>485</v>
      </c>
      <c r="R280" s="38"/>
      <c r="S280" s="38"/>
      <c r="T280" s="38"/>
      <c r="U280" s="37">
        <f t="shared" si="89"/>
        <v>1</v>
      </c>
      <c r="V280" s="38">
        <v>3</v>
      </c>
      <c r="W280" s="38" t="s">
        <v>655</v>
      </c>
      <c r="X280" s="38"/>
      <c r="Y280" s="38"/>
      <c r="Z280" s="38"/>
      <c r="AA280" s="38"/>
      <c r="AB280" s="38"/>
      <c r="AC280" s="38"/>
      <c r="AD280" s="38"/>
      <c r="AE280" s="38"/>
      <c r="AF280" s="38"/>
      <c r="AG280" s="43"/>
      <c r="AH280" s="44"/>
      <c r="AI280" s="45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</row>
    <row r="281" spans="1:86">
      <c r="A281" s="33">
        <v>45471</v>
      </c>
      <c r="B281" s="1" t="s">
        <v>716</v>
      </c>
      <c r="C281" s="1" t="s">
        <v>717</v>
      </c>
      <c r="D281" s="1"/>
      <c r="E281" s="38" t="s">
        <v>689</v>
      </c>
      <c r="F281" s="38">
        <v>120</v>
      </c>
      <c r="G281" s="38"/>
      <c r="H281" s="38">
        <v>79</v>
      </c>
      <c r="I281" s="38">
        <v>950</v>
      </c>
      <c r="J281" s="11">
        <f t="shared" si="82"/>
        <v>950</v>
      </c>
      <c r="K281" s="5">
        <f t="shared" si="87"/>
        <v>10021.097046413501</v>
      </c>
      <c r="L281" s="39">
        <v>1</v>
      </c>
      <c r="M281" s="37">
        <f t="shared" si="88"/>
        <v>1</v>
      </c>
      <c r="N281" s="38"/>
      <c r="O281" s="46"/>
      <c r="P281" s="42">
        <f t="shared" si="86"/>
        <v>950</v>
      </c>
      <c r="Q281" s="38" t="s">
        <v>485</v>
      </c>
      <c r="R281" s="38"/>
      <c r="S281" s="38"/>
      <c r="T281" s="38"/>
      <c r="U281" s="37">
        <f t="shared" si="89"/>
        <v>1</v>
      </c>
      <c r="V281" s="38">
        <v>3</v>
      </c>
      <c r="W281" s="38" t="s">
        <v>689</v>
      </c>
      <c r="X281" s="38"/>
      <c r="Y281" s="38"/>
      <c r="Z281" s="38"/>
      <c r="AA281" s="38"/>
      <c r="AB281" s="38"/>
      <c r="AC281" s="38"/>
      <c r="AD281" s="38"/>
      <c r="AE281" s="38"/>
      <c r="AF281" s="38"/>
      <c r="AG281" s="43"/>
      <c r="AH281" s="44"/>
      <c r="AI281" s="45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</row>
    <row r="282" spans="1:86">
      <c r="A282" s="33">
        <v>45471</v>
      </c>
      <c r="B282" s="1" t="s">
        <v>698</v>
      </c>
      <c r="C282" s="1" t="s">
        <v>698</v>
      </c>
      <c r="D282" s="1"/>
      <c r="E282" s="38" t="s">
        <v>29</v>
      </c>
      <c r="F282" s="38">
        <v>160</v>
      </c>
      <c r="G282" s="38" t="s">
        <v>47</v>
      </c>
      <c r="H282" s="38">
        <v>68</v>
      </c>
      <c r="I282" s="38">
        <v>520</v>
      </c>
      <c r="J282" s="11">
        <f t="shared" si="82"/>
        <v>520</v>
      </c>
      <c r="K282" s="5">
        <f t="shared" si="87"/>
        <v>4779.411764705882</v>
      </c>
      <c r="L282" s="39">
        <v>1</v>
      </c>
      <c r="M282" s="37">
        <f t="shared" si="88"/>
        <v>1</v>
      </c>
      <c r="N282" s="38"/>
      <c r="O282" s="46"/>
      <c r="P282" s="42">
        <f t="shared" si="86"/>
        <v>520</v>
      </c>
      <c r="Q282" s="38" t="s">
        <v>485</v>
      </c>
      <c r="R282" s="38"/>
      <c r="S282" s="38"/>
      <c r="T282" s="38"/>
      <c r="U282" s="37">
        <f t="shared" si="89"/>
        <v>1</v>
      </c>
      <c r="V282" s="38">
        <v>3</v>
      </c>
      <c r="W282" s="38" t="s">
        <v>552</v>
      </c>
      <c r="X282" s="38"/>
      <c r="Y282" s="38"/>
      <c r="Z282" s="38"/>
      <c r="AA282" s="38"/>
      <c r="AB282" s="38"/>
      <c r="AC282" s="38"/>
      <c r="AD282" s="38"/>
      <c r="AE282" s="38"/>
      <c r="AF282" s="38"/>
      <c r="AG282" s="43"/>
      <c r="AH282" s="44"/>
      <c r="AI282" s="45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</row>
    <row r="283" spans="1:86">
      <c r="A283" s="33">
        <v>45471</v>
      </c>
      <c r="B283" s="1"/>
      <c r="C283" s="1"/>
      <c r="D283" s="1"/>
      <c r="E283" s="38" t="s">
        <v>99</v>
      </c>
      <c r="F283" s="38">
        <v>75</v>
      </c>
      <c r="G283" s="38"/>
      <c r="H283" s="38">
        <v>71</v>
      </c>
      <c r="I283" s="38">
        <v>360</v>
      </c>
      <c r="J283" s="11">
        <f t="shared" si="82"/>
        <v>360</v>
      </c>
      <c r="K283" s="5">
        <f t="shared" si="87"/>
        <v>6760.5633802816892</v>
      </c>
      <c r="L283" s="39">
        <v>1</v>
      </c>
      <c r="M283" s="37">
        <f t="shared" si="88"/>
        <v>1</v>
      </c>
      <c r="N283" s="38"/>
      <c r="O283" s="46"/>
      <c r="P283" s="42">
        <f t="shared" si="86"/>
        <v>360</v>
      </c>
      <c r="Q283" s="38" t="s">
        <v>485</v>
      </c>
      <c r="R283" s="38"/>
      <c r="S283" s="38"/>
      <c r="T283" s="38"/>
      <c r="U283" s="37">
        <f t="shared" si="89"/>
        <v>1</v>
      </c>
      <c r="V283" s="38">
        <v>3</v>
      </c>
      <c r="W283" s="38" t="s">
        <v>454</v>
      </c>
      <c r="X283" s="38"/>
      <c r="Y283" s="38"/>
      <c r="Z283" s="38"/>
      <c r="AA283" s="38"/>
      <c r="AB283" s="38"/>
      <c r="AC283" s="38"/>
      <c r="AD283" s="38"/>
      <c r="AE283" s="38"/>
      <c r="AF283" s="38"/>
      <c r="AG283" s="43"/>
      <c r="AH283" s="44"/>
      <c r="AI283" s="45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</row>
    <row r="284" spans="1:86">
      <c r="A284" s="33">
        <v>45472</v>
      </c>
      <c r="B284" s="1" t="s">
        <v>718</v>
      </c>
      <c r="C284" s="1" t="s">
        <v>718</v>
      </c>
      <c r="D284" s="1"/>
      <c r="E284" s="38" t="s">
        <v>29</v>
      </c>
      <c r="F284" s="38">
        <v>60</v>
      </c>
      <c r="G284" s="38"/>
      <c r="H284" s="38">
        <v>24</v>
      </c>
      <c r="I284" s="38">
        <v>220</v>
      </c>
      <c r="J284" s="11">
        <f t="shared" si="82"/>
        <v>220</v>
      </c>
      <c r="K284" s="5">
        <f t="shared" si="87"/>
        <v>15277.777777777776</v>
      </c>
      <c r="L284" s="39">
        <v>1</v>
      </c>
      <c r="M284" s="37">
        <f t="shared" si="88"/>
        <v>1</v>
      </c>
      <c r="N284" s="38"/>
      <c r="O284" s="46"/>
      <c r="P284" s="42">
        <f t="shared" si="86"/>
        <v>220</v>
      </c>
      <c r="Q284" s="38" t="s">
        <v>485</v>
      </c>
      <c r="R284" s="38"/>
      <c r="S284" s="38"/>
      <c r="T284" s="38"/>
      <c r="U284" s="37">
        <f t="shared" si="89"/>
        <v>1</v>
      </c>
      <c r="V284" s="38">
        <v>3</v>
      </c>
      <c r="W284" s="38" t="s">
        <v>719</v>
      </c>
      <c r="X284" s="38"/>
      <c r="Y284" s="38"/>
      <c r="Z284" s="38"/>
      <c r="AA284" s="38"/>
      <c r="AB284" s="38"/>
      <c r="AC284" s="38"/>
      <c r="AD284" s="38"/>
      <c r="AE284" s="38"/>
      <c r="AF284" s="38"/>
      <c r="AG284" s="43"/>
      <c r="AH284" s="44"/>
      <c r="AI284" s="45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</row>
    <row r="285" spans="1:86">
      <c r="A285" s="33">
        <v>45496</v>
      </c>
      <c r="B285" s="1" t="s">
        <v>720</v>
      </c>
      <c r="C285" s="1" t="s">
        <v>720</v>
      </c>
      <c r="D285" s="1"/>
      <c r="E285" s="38" t="s">
        <v>92</v>
      </c>
      <c r="F285" s="38">
        <v>80</v>
      </c>
      <c r="G285" s="38"/>
      <c r="H285" s="38">
        <v>70</v>
      </c>
      <c r="I285" s="38">
        <v>180</v>
      </c>
      <c r="J285" s="11">
        <f t="shared" si="82"/>
        <v>180</v>
      </c>
      <c r="K285" s="5">
        <f t="shared" si="87"/>
        <v>3214.2857142857142</v>
      </c>
      <c r="L285" s="39">
        <v>1</v>
      </c>
      <c r="M285" s="37">
        <f t="shared" si="88"/>
        <v>1</v>
      </c>
      <c r="N285" s="38"/>
      <c r="O285" s="46"/>
      <c r="P285" s="42">
        <f t="shared" si="86"/>
        <v>180</v>
      </c>
      <c r="Q285" s="38" t="s">
        <v>546</v>
      </c>
      <c r="R285" s="38"/>
      <c r="S285" s="38"/>
      <c r="T285" s="38"/>
      <c r="U285" s="37">
        <f t="shared" si="89"/>
        <v>1</v>
      </c>
      <c r="V285" s="38">
        <v>3</v>
      </c>
      <c r="W285" s="38" t="s">
        <v>692</v>
      </c>
      <c r="X285" s="38"/>
      <c r="Y285" s="38"/>
      <c r="Z285" s="38"/>
      <c r="AA285" s="38"/>
      <c r="AB285" s="38"/>
      <c r="AC285" s="38"/>
      <c r="AD285" s="38"/>
      <c r="AE285" s="38"/>
      <c r="AF285" s="38"/>
      <c r="AG285" s="43"/>
      <c r="AH285" s="44"/>
      <c r="AI285" s="45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</row>
    <row r="286" spans="1:86">
      <c r="A286" s="33">
        <v>45474</v>
      </c>
      <c r="B286" s="1" t="s">
        <v>678</v>
      </c>
      <c r="C286" s="1" t="s">
        <v>678</v>
      </c>
      <c r="D286" s="1"/>
      <c r="E286" s="38" t="s">
        <v>99</v>
      </c>
      <c r="F286" s="38">
        <v>180</v>
      </c>
      <c r="G286" s="38" t="s">
        <v>679</v>
      </c>
      <c r="H286" s="38">
        <v>72.5</v>
      </c>
      <c r="I286" s="38">
        <v>560</v>
      </c>
      <c r="J286" s="11">
        <f t="shared" si="82"/>
        <v>560</v>
      </c>
      <c r="K286" s="5">
        <f t="shared" ref="K286:K306" si="90">+J286/(F286*H286*10^-5)</f>
        <v>4291.1877394636012</v>
      </c>
      <c r="L286" s="39">
        <v>1</v>
      </c>
      <c r="M286" s="37">
        <f t="shared" si="88"/>
        <v>1</v>
      </c>
      <c r="N286" s="38"/>
      <c r="O286" s="46"/>
      <c r="P286" s="42">
        <f t="shared" si="86"/>
        <v>560</v>
      </c>
      <c r="Q286" s="38" t="s">
        <v>485</v>
      </c>
      <c r="R286" s="38"/>
      <c r="S286" s="38"/>
      <c r="T286" s="38"/>
      <c r="U286" s="37">
        <f t="shared" si="89"/>
        <v>1</v>
      </c>
      <c r="V286" s="38">
        <v>3</v>
      </c>
      <c r="W286" s="38" t="s">
        <v>638</v>
      </c>
      <c r="X286" s="38"/>
      <c r="Y286" s="38"/>
      <c r="Z286" s="38"/>
      <c r="AA286" s="38"/>
      <c r="AB286" s="38"/>
      <c r="AC286" s="38"/>
      <c r="AD286" s="38"/>
      <c r="AE286" s="38"/>
      <c r="AF286" s="38"/>
      <c r="AG286" s="43"/>
      <c r="AH286" s="44"/>
      <c r="AI286" s="45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</row>
    <row r="287" spans="1:86" ht="28.8">
      <c r="A287" s="33">
        <v>45474</v>
      </c>
      <c r="B287" s="1" t="s">
        <v>721</v>
      </c>
      <c r="C287" s="1" t="s">
        <v>722</v>
      </c>
      <c r="D287" s="1"/>
      <c r="E287" s="38" t="s">
        <v>37</v>
      </c>
      <c r="F287" s="38">
        <v>320</v>
      </c>
      <c r="G287" s="38" t="s">
        <v>723</v>
      </c>
      <c r="H287" s="38">
        <v>67</v>
      </c>
      <c r="I287" s="38">
        <v>440</v>
      </c>
      <c r="J287" s="11">
        <f t="shared" si="82"/>
        <v>440</v>
      </c>
      <c r="K287" s="5">
        <f t="shared" si="90"/>
        <v>2052.2388059701493</v>
      </c>
      <c r="L287" s="39">
        <v>1</v>
      </c>
      <c r="M287" s="37">
        <f t="shared" si="88"/>
        <v>1</v>
      </c>
      <c r="N287" s="38"/>
      <c r="O287" s="46"/>
      <c r="P287" s="42">
        <f t="shared" si="86"/>
        <v>440</v>
      </c>
      <c r="Q287" s="38" t="s">
        <v>485</v>
      </c>
      <c r="R287" s="38"/>
      <c r="S287" s="38"/>
      <c r="T287" s="38"/>
      <c r="U287" s="37">
        <f t="shared" si="89"/>
        <v>1</v>
      </c>
      <c r="V287" s="38">
        <v>3</v>
      </c>
      <c r="W287" s="38" t="s">
        <v>624</v>
      </c>
      <c r="X287" s="38"/>
      <c r="Y287" s="38"/>
      <c r="Z287" s="38"/>
      <c r="AA287" s="38"/>
      <c r="AB287" s="38"/>
      <c r="AC287" s="38"/>
      <c r="AD287" s="38"/>
      <c r="AE287" s="38"/>
      <c r="AF287" s="38"/>
      <c r="AG287" s="43"/>
      <c r="AH287" s="44"/>
      <c r="AI287" s="45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</row>
    <row r="288" spans="1:86">
      <c r="A288" s="33">
        <v>45474</v>
      </c>
      <c r="B288" s="1" t="s">
        <v>716</v>
      </c>
      <c r="C288" s="1" t="s">
        <v>717</v>
      </c>
      <c r="D288" s="1"/>
      <c r="E288" s="38" t="s">
        <v>689</v>
      </c>
      <c r="F288" s="38">
        <v>120</v>
      </c>
      <c r="G288" s="38"/>
      <c r="H288" s="38">
        <v>79</v>
      </c>
      <c r="I288" s="38">
        <v>870</v>
      </c>
      <c r="J288" s="11">
        <f t="shared" si="82"/>
        <v>870</v>
      </c>
      <c r="K288" s="5">
        <f t="shared" si="90"/>
        <v>9177.2151898734173</v>
      </c>
      <c r="L288" s="39">
        <v>1</v>
      </c>
      <c r="M288" s="37">
        <f t="shared" si="88"/>
        <v>1</v>
      </c>
      <c r="N288" s="38"/>
      <c r="O288" s="46"/>
      <c r="P288" s="42">
        <f t="shared" si="86"/>
        <v>870</v>
      </c>
      <c r="Q288" s="38" t="s">
        <v>485</v>
      </c>
      <c r="R288" s="38"/>
      <c r="S288" s="38"/>
      <c r="T288" s="38" t="s">
        <v>724</v>
      </c>
      <c r="U288" s="37">
        <f t="shared" si="89"/>
        <v>1</v>
      </c>
      <c r="V288" s="38">
        <v>3</v>
      </c>
      <c r="W288" s="38" t="s">
        <v>699</v>
      </c>
      <c r="X288" s="38"/>
      <c r="Y288" s="38"/>
      <c r="Z288" s="38"/>
      <c r="AA288" s="38"/>
      <c r="AB288" s="38"/>
      <c r="AC288" s="38"/>
      <c r="AD288" s="38"/>
      <c r="AE288" s="38"/>
      <c r="AF288" s="38"/>
      <c r="AG288" s="43"/>
      <c r="AH288" s="44"/>
      <c r="AI288" s="45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</row>
    <row r="289" spans="1:86">
      <c r="A289" s="33">
        <v>45475</v>
      </c>
      <c r="B289" s="1" t="s">
        <v>716</v>
      </c>
      <c r="C289" s="1" t="s">
        <v>717</v>
      </c>
      <c r="D289" s="1"/>
      <c r="E289" s="38" t="s">
        <v>689</v>
      </c>
      <c r="F289" s="38">
        <v>120</v>
      </c>
      <c r="G289" s="38"/>
      <c r="H289" s="38">
        <v>79</v>
      </c>
      <c r="I289" s="38">
        <v>580</v>
      </c>
      <c r="J289" s="11">
        <f t="shared" si="82"/>
        <v>580</v>
      </c>
      <c r="K289" s="5">
        <f t="shared" si="90"/>
        <v>6118.1434599156109</v>
      </c>
      <c r="L289" s="39">
        <v>1</v>
      </c>
      <c r="M289" s="37">
        <f t="shared" si="88"/>
        <v>1</v>
      </c>
      <c r="N289" s="38"/>
      <c r="O289" s="46"/>
      <c r="P289" s="42">
        <f t="shared" si="86"/>
        <v>580</v>
      </c>
      <c r="Q289" s="38" t="s">
        <v>485</v>
      </c>
      <c r="R289" s="38"/>
      <c r="S289" s="38"/>
      <c r="T289" s="38" t="s">
        <v>724</v>
      </c>
      <c r="U289" s="37">
        <f t="shared" si="89"/>
        <v>1</v>
      </c>
      <c r="V289" s="38">
        <v>3</v>
      </c>
      <c r="W289" s="38" t="s">
        <v>699</v>
      </c>
      <c r="X289" s="38"/>
      <c r="Y289" s="38"/>
      <c r="Z289" s="38"/>
      <c r="AA289" s="38"/>
      <c r="AB289" s="38"/>
      <c r="AC289" s="38"/>
      <c r="AD289" s="38"/>
      <c r="AE289" s="38"/>
      <c r="AF289" s="38"/>
      <c r="AG289" s="43"/>
      <c r="AH289" s="44"/>
      <c r="AI289" s="45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</row>
    <row r="290" spans="1:86">
      <c r="A290" s="33">
        <v>45475</v>
      </c>
      <c r="B290" s="1" t="s">
        <v>687</v>
      </c>
      <c r="C290" s="1" t="s">
        <v>688</v>
      </c>
      <c r="D290" s="1"/>
      <c r="E290" s="38" t="s">
        <v>29</v>
      </c>
      <c r="F290" s="38">
        <v>160</v>
      </c>
      <c r="G290" s="38" t="s">
        <v>47</v>
      </c>
      <c r="H290" s="38">
        <v>59</v>
      </c>
      <c r="I290" s="38">
        <v>120</v>
      </c>
      <c r="J290" s="11">
        <f t="shared" si="82"/>
        <v>120</v>
      </c>
      <c r="K290" s="5">
        <f t="shared" si="90"/>
        <v>1271.1864406779659</v>
      </c>
      <c r="L290" s="39">
        <v>1</v>
      </c>
      <c r="M290" s="37">
        <f t="shared" si="88"/>
        <v>1</v>
      </c>
      <c r="N290" s="38"/>
      <c r="O290" s="46"/>
      <c r="P290" s="42">
        <f t="shared" si="86"/>
        <v>120</v>
      </c>
      <c r="Q290" s="38" t="s">
        <v>485</v>
      </c>
      <c r="R290" s="38"/>
      <c r="S290" s="38"/>
      <c r="T290" s="38"/>
      <c r="U290" s="37">
        <f t="shared" si="89"/>
        <v>1</v>
      </c>
      <c r="V290" s="38">
        <v>3</v>
      </c>
      <c r="W290" s="38" t="s">
        <v>725</v>
      </c>
      <c r="X290" s="38"/>
      <c r="Y290" s="38"/>
      <c r="Z290" s="38"/>
      <c r="AA290" s="38"/>
      <c r="AB290" s="38"/>
      <c r="AC290" s="38"/>
      <c r="AD290" s="38"/>
      <c r="AE290" s="38"/>
      <c r="AF290" s="38"/>
      <c r="AG290" s="43"/>
      <c r="AH290" s="44"/>
      <c r="AI290" s="45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</row>
    <row r="291" spans="1:86">
      <c r="A291" s="33">
        <v>45475</v>
      </c>
      <c r="B291" s="1" t="s">
        <v>687</v>
      </c>
      <c r="C291" s="1" t="s">
        <v>688</v>
      </c>
      <c r="D291" s="1"/>
      <c r="E291" s="38" t="s">
        <v>29</v>
      </c>
      <c r="F291" s="38">
        <v>160</v>
      </c>
      <c r="G291" s="38" t="s">
        <v>47</v>
      </c>
      <c r="H291" s="38">
        <v>59</v>
      </c>
      <c r="I291" s="38">
        <v>130</v>
      </c>
      <c r="J291" s="11">
        <f t="shared" ref="J291:J344" si="91">IFERROR(IF(AND(V291=3,U291&gt;0),I291,I291*U291),"Verify")</f>
        <v>130</v>
      </c>
      <c r="K291" s="5">
        <f t="shared" si="90"/>
        <v>1377.1186440677964</v>
      </c>
      <c r="L291" s="39">
        <v>1</v>
      </c>
      <c r="M291" s="37">
        <f t="shared" si="88"/>
        <v>1</v>
      </c>
      <c r="N291" s="38"/>
      <c r="O291" s="46"/>
      <c r="P291" s="42">
        <f t="shared" si="86"/>
        <v>130</v>
      </c>
      <c r="Q291" s="38" t="s">
        <v>485</v>
      </c>
      <c r="R291" s="38"/>
      <c r="S291" s="38"/>
      <c r="T291" s="38" t="s">
        <v>724</v>
      </c>
      <c r="U291" s="37">
        <f t="shared" si="89"/>
        <v>1</v>
      </c>
      <c r="V291" s="38">
        <v>3</v>
      </c>
      <c r="W291" s="38" t="s">
        <v>699</v>
      </c>
      <c r="X291" s="38"/>
      <c r="Y291" s="38"/>
      <c r="Z291" s="38"/>
      <c r="AA291" s="38"/>
      <c r="AB291" s="38"/>
      <c r="AC291" s="38"/>
      <c r="AD291" s="38"/>
      <c r="AE291" s="38"/>
      <c r="AF291" s="38"/>
      <c r="AG291" s="43"/>
      <c r="AH291" s="44"/>
      <c r="AI291" s="45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</row>
    <row r="292" spans="1:86">
      <c r="A292" s="33">
        <v>45475</v>
      </c>
      <c r="B292" s="1"/>
      <c r="C292" s="1"/>
      <c r="D292" s="1"/>
      <c r="E292" s="38" t="s">
        <v>431</v>
      </c>
      <c r="F292" s="38">
        <v>255</v>
      </c>
      <c r="G292" s="38"/>
      <c r="H292" s="38">
        <v>77</v>
      </c>
      <c r="I292" s="38">
        <v>540</v>
      </c>
      <c r="J292" s="11">
        <f t="shared" si="91"/>
        <v>540</v>
      </c>
      <c r="K292" s="5">
        <f t="shared" si="90"/>
        <v>2750.1909854851028</v>
      </c>
      <c r="L292" s="39">
        <v>1</v>
      </c>
      <c r="M292" s="37">
        <f t="shared" si="88"/>
        <v>1</v>
      </c>
      <c r="N292" s="38"/>
      <c r="O292" s="46"/>
      <c r="P292" s="42">
        <f t="shared" si="86"/>
        <v>540</v>
      </c>
      <c r="Q292" s="38" t="s">
        <v>485</v>
      </c>
      <c r="R292" s="38"/>
      <c r="S292" s="38"/>
      <c r="T292" s="38" t="s">
        <v>726</v>
      </c>
      <c r="U292" s="37">
        <f t="shared" si="89"/>
        <v>1</v>
      </c>
      <c r="V292" s="38">
        <v>3</v>
      </c>
      <c r="W292" s="38" t="s">
        <v>699</v>
      </c>
      <c r="X292" s="38"/>
      <c r="Y292" s="38"/>
      <c r="Z292" s="38"/>
      <c r="AA292" s="38"/>
      <c r="AB292" s="38"/>
      <c r="AC292" s="38"/>
      <c r="AD292" s="38"/>
      <c r="AE292" s="38"/>
      <c r="AF292" s="38"/>
      <c r="AG292" s="43"/>
      <c r="AH292" s="44"/>
      <c r="AI292" s="45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</row>
    <row r="293" spans="1:86">
      <c r="A293" s="33">
        <v>45476</v>
      </c>
      <c r="B293" s="1" t="s">
        <v>651</v>
      </c>
      <c r="C293" s="1" t="s">
        <v>651</v>
      </c>
      <c r="D293" s="1"/>
      <c r="E293" s="38" t="s">
        <v>41</v>
      </c>
      <c r="F293" s="38">
        <v>55</v>
      </c>
      <c r="G293" s="38" t="s">
        <v>649</v>
      </c>
      <c r="H293" s="38">
        <v>33</v>
      </c>
      <c r="I293" s="38">
        <v>170</v>
      </c>
      <c r="J293" s="11">
        <f t="shared" si="91"/>
        <v>170</v>
      </c>
      <c r="K293" s="5">
        <f t="shared" si="90"/>
        <v>9366.3911845730017</v>
      </c>
      <c r="L293" s="39">
        <v>1</v>
      </c>
      <c r="M293" s="37">
        <f t="shared" si="88"/>
        <v>1</v>
      </c>
      <c r="N293" s="38"/>
      <c r="O293" s="46"/>
      <c r="P293" s="42">
        <f t="shared" si="86"/>
        <v>170</v>
      </c>
      <c r="Q293" s="38" t="s">
        <v>485</v>
      </c>
      <c r="R293" s="38"/>
      <c r="S293" s="38"/>
      <c r="T293" s="38"/>
      <c r="U293" s="37">
        <f t="shared" si="89"/>
        <v>1</v>
      </c>
      <c r="V293" s="38">
        <v>3</v>
      </c>
      <c r="W293" s="38" t="s">
        <v>727</v>
      </c>
      <c r="X293" s="38"/>
      <c r="Y293" s="38"/>
      <c r="Z293" s="38"/>
      <c r="AA293" s="38"/>
      <c r="AB293" s="38"/>
      <c r="AC293" s="38"/>
      <c r="AD293" s="38"/>
      <c r="AE293" s="38"/>
      <c r="AF293" s="38"/>
      <c r="AG293" s="43"/>
      <c r="AH293" s="44"/>
      <c r="AI293" s="45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</row>
    <row r="294" spans="1:86">
      <c r="A294" s="33">
        <v>45476</v>
      </c>
      <c r="B294" s="1"/>
      <c r="C294" s="1"/>
      <c r="D294" s="1"/>
      <c r="E294" s="38" t="s">
        <v>29</v>
      </c>
      <c r="F294" s="38">
        <v>150</v>
      </c>
      <c r="G294" s="38"/>
      <c r="H294" s="38">
        <v>29</v>
      </c>
      <c r="I294" s="38">
        <v>75</v>
      </c>
      <c r="J294" s="11">
        <f t="shared" si="91"/>
        <v>75</v>
      </c>
      <c r="K294" s="5">
        <f t="shared" si="90"/>
        <v>1724.1379310344826</v>
      </c>
      <c r="L294" s="39">
        <v>1</v>
      </c>
      <c r="M294" s="37">
        <f t="shared" si="88"/>
        <v>1</v>
      </c>
      <c r="N294" s="38"/>
      <c r="O294" s="46"/>
      <c r="P294" s="42">
        <f t="shared" si="86"/>
        <v>75</v>
      </c>
      <c r="Q294" s="38" t="s">
        <v>485</v>
      </c>
      <c r="R294" s="38"/>
      <c r="S294" s="38"/>
      <c r="T294" s="38"/>
      <c r="U294" s="37">
        <f t="shared" si="89"/>
        <v>1</v>
      </c>
      <c r="V294" s="38">
        <v>3</v>
      </c>
      <c r="W294" s="38" t="s">
        <v>727</v>
      </c>
      <c r="X294" s="38"/>
      <c r="Y294" s="38"/>
      <c r="Z294" s="38"/>
      <c r="AA294" s="38"/>
      <c r="AB294" s="38"/>
      <c r="AC294" s="38"/>
      <c r="AD294" s="38"/>
      <c r="AE294" s="38"/>
      <c r="AF294" s="38"/>
      <c r="AG294" s="43"/>
      <c r="AH294" s="44"/>
      <c r="AI294" s="45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</row>
    <row r="295" spans="1:86">
      <c r="A295" s="33">
        <v>45476</v>
      </c>
      <c r="B295" s="1"/>
      <c r="C295" s="1"/>
      <c r="D295" s="1"/>
      <c r="E295" s="38" t="s">
        <v>689</v>
      </c>
      <c r="F295" s="38">
        <v>77</v>
      </c>
      <c r="G295" s="38"/>
      <c r="H295" s="38">
        <v>88</v>
      </c>
      <c r="I295" s="38">
        <v>400</v>
      </c>
      <c r="J295" s="11">
        <f t="shared" si="91"/>
        <v>400</v>
      </c>
      <c r="K295" s="5">
        <f t="shared" si="90"/>
        <v>5903.1877213695398</v>
      </c>
      <c r="L295" s="39">
        <v>1</v>
      </c>
      <c r="M295" s="37">
        <f t="shared" si="88"/>
        <v>1</v>
      </c>
      <c r="N295" s="38"/>
      <c r="O295" s="46"/>
      <c r="P295" s="42">
        <f t="shared" si="86"/>
        <v>400</v>
      </c>
      <c r="Q295" s="38" t="s">
        <v>485</v>
      </c>
      <c r="R295" s="38"/>
      <c r="S295" s="38"/>
      <c r="T295" s="38"/>
      <c r="U295" s="37">
        <f t="shared" si="89"/>
        <v>1</v>
      </c>
      <c r="V295" s="38">
        <v>3</v>
      </c>
      <c r="W295" s="38" t="s">
        <v>728</v>
      </c>
      <c r="X295" s="38"/>
      <c r="Y295" s="38"/>
      <c r="Z295" s="38"/>
      <c r="AA295" s="38"/>
      <c r="AB295" s="38"/>
      <c r="AC295" s="38"/>
      <c r="AD295" s="38"/>
      <c r="AE295" s="38"/>
      <c r="AF295" s="38"/>
      <c r="AG295" s="43"/>
      <c r="AH295" s="44"/>
      <c r="AI295" s="45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  <c r="CH295" s="38"/>
    </row>
    <row r="296" spans="1:86">
      <c r="A296" s="33">
        <v>45485</v>
      </c>
      <c r="B296" s="1" t="s">
        <v>713</v>
      </c>
      <c r="C296" s="1" t="s">
        <v>713</v>
      </c>
      <c r="D296" s="1"/>
      <c r="E296" s="38" t="s">
        <v>99</v>
      </c>
      <c r="F296" s="38">
        <v>80</v>
      </c>
      <c r="G296" s="38"/>
      <c r="H296" s="38">
        <v>65</v>
      </c>
      <c r="I296" s="38">
        <v>570</v>
      </c>
      <c r="J296" s="11">
        <f t="shared" si="91"/>
        <v>570</v>
      </c>
      <c r="K296" s="5">
        <f t="shared" si="90"/>
        <v>10961.538461538461</v>
      </c>
      <c r="L296" s="39">
        <v>1</v>
      </c>
      <c r="M296" s="37">
        <f t="shared" si="88"/>
        <v>1</v>
      </c>
      <c r="N296" s="38"/>
      <c r="O296" s="46"/>
      <c r="P296" s="42">
        <f t="shared" si="86"/>
        <v>570</v>
      </c>
      <c r="Q296" s="38" t="s">
        <v>680</v>
      </c>
      <c r="R296" s="38"/>
      <c r="S296" s="38"/>
      <c r="T296" s="38"/>
      <c r="U296" s="37">
        <f t="shared" si="89"/>
        <v>1</v>
      </c>
      <c r="V296" s="38">
        <v>4</v>
      </c>
      <c r="W296" s="38" t="s">
        <v>489</v>
      </c>
      <c r="X296" s="38"/>
      <c r="Y296" s="38"/>
      <c r="Z296" s="38"/>
      <c r="AA296" s="38"/>
      <c r="AB296" s="38"/>
      <c r="AC296" s="38"/>
      <c r="AD296" s="38"/>
      <c r="AE296" s="38"/>
      <c r="AF296" s="38"/>
      <c r="AG296" s="43"/>
      <c r="AH296" s="44"/>
      <c r="AI296" s="45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  <c r="CH296" s="38"/>
    </row>
    <row r="297" spans="1:86">
      <c r="A297" s="33">
        <v>45510</v>
      </c>
      <c r="B297" s="1"/>
      <c r="C297" s="1"/>
      <c r="D297" s="1"/>
      <c r="E297" s="38" t="s">
        <v>29</v>
      </c>
      <c r="F297" s="38">
        <v>43</v>
      </c>
      <c r="G297" s="38"/>
      <c r="H297" s="38">
        <v>50</v>
      </c>
      <c r="I297" s="38">
        <v>105</v>
      </c>
      <c r="J297" s="11">
        <f t="shared" si="91"/>
        <v>105</v>
      </c>
      <c r="K297" s="5">
        <f t="shared" si="90"/>
        <v>4883.7209302325573</v>
      </c>
      <c r="L297" s="39">
        <v>1</v>
      </c>
      <c r="M297" s="37">
        <f t="shared" si="88"/>
        <v>1</v>
      </c>
      <c r="N297" s="38"/>
      <c r="O297" s="46"/>
      <c r="P297" s="42">
        <f t="shared" si="86"/>
        <v>105</v>
      </c>
      <c r="Q297" s="38" t="s">
        <v>449</v>
      </c>
      <c r="R297" s="38"/>
      <c r="S297" s="38"/>
      <c r="T297" s="38"/>
      <c r="U297" s="37">
        <f t="shared" si="89"/>
        <v>1</v>
      </c>
      <c r="V297" s="38">
        <v>3</v>
      </c>
      <c r="W297" s="38" t="s">
        <v>655</v>
      </c>
      <c r="X297" s="38"/>
      <c r="Y297" s="38"/>
      <c r="Z297" s="38"/>
      <c r="AA297" s="38"/>
      <c r="AB297" s="38"/>
      <c r="AC297" s="38"/>
      <c r="AD297" s="38"/>
      <c r="AE297" s="38"/>
      <c r="AF297" s="38"/>
      <c r="AG297" s="43"/>
      <c r="AH297" s="44"/>
      <c r="AI297" s="45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  <c r="CH297" s="38"/>
    </row>
    <row r="298" spans="1:86" ht="28.8">
      <c r="A298" s="33">
        <v>45551</v>
      </c>
      <c r="B298" s="1"/>
      <c r="C298" s="1"/>
      <c r="D298" s="1"/>
      <c r="E298" s="38" t="s">
        <v>37</v>
      </c>
      <c r="F298" s="38">
        <v>380</v>
      </c>
      <c r="G298" s="38" t="s">
        <v>729</v>
      </c>
      <c r="H298" s="38">
        <v>82</v>
      </c>
      <c r="I298" s="38">
        <v>500</v>
      </c>
      <c r="J298" s="11">
        <f t="shared" si="91"/>
        <v>500</v>
      </c>
      <c r="K298" s="5">
        <f t="shared" si="90"/>
        <v>1604.6213093709882</v>
      </c>
      <c r="L298" s="39">
        <v>1</v>
      </c>
      <c r="M298" s="37">
        <f t="shared" si="88"/>
        <v>1</v>
      </c>
      <c r="N298" s="38"/>
      <c r="O298" s="46"/>
      <c r="P298" s="42">
        <f t="shared" si="86"/>
        <v>500</v>
      </c>
      <c r="Q298" s="38" t="s">
        <v>567</v>
      </c>
      <c r="R298" s="38"/>
      <c r="S298" s="38"/>
      <c r="T298" s="38"/>
      <c r="U298" s="37">
        <f t="shared" si="89"/>
        <v>1</v>
      </c>
      <c r="V298" s="38">
        <v>3</v>
      </c>
      <c r="W298" s="38" t="s">
        <v>699</v>
      </c>
      <c r="X298" s="38"/>
      <c r="Y298" s="38"/>
      <c r="Z298" s="38"/>
      <c r="AA298" s="38"/>
      <c r="AB298" s="38"/>
      <c r="AC298" s="38"/>
      <c r="AD298" s="38"/>
      <c r="AE298" s="38"/>
      <c r="AF298" s="38"/>
      <c r="AG298" s="43"/>
      <c r="AH298" s="44"/>
      <c r="AI298" s="45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</row>
    <row r="299" spans="1:86">
      <c r="A299" s="33">
        <v>45552</v>
      </c>
      <c r="B299" s="1" t="s">
        <v>716</v>
      </c>
      <c r="C299" s="1" t="s">
        <v>717</v>
      </c>
      <c r="D299" s="1"/>
      <c r="E299" s="38" t="s">
        <v>689</v>
      </c>
      <c r="F299" s="38">
        <v>120</v>
      </c>
      <c r="G299" s="38"/>
      <c r="H299" s="38">
        <v>79</v>
      </c>
      <c r="I299" s="38">
        <v>350</v>
      </c>
      <c r="J299" s="11">
        <f t="shared" si="91"/>
        <v>350</v>
      </c>
      <c r="K299" s="5">
        <f t="shared" si="90"/>
        <v>3691.9831223628689</v>
      </c>
      <c r="L299" s="39">
        <v>1</v>
      </c>
      <c r="M299" s="37">
        <f t="shared" si="88"/>
        <v>1</v>
      </c>
      <c r="N299" s="38"/>
      <c r="O299" s="46"/>
      <c r="P299" s="42">
        <f t="shared" si="86"/>
        <v>350</v>
      </c>
      <c r="Q299" s="38" t="s">
        <v>485</v>
      </c>
      <c r="R299" s="38"/>
      <c r="S299" s="38"/>
      <c r="T299" s="38"/>
      <c r="U299" s="37">
        <f t="shared" si="89"/>
        <v>1</v>
      </c>
      <c r="V299" s="38">
        <v>3</v>
      </c>
      <c r="W299" s="38" t="s">
        <v>727</v>
      </c>
      <c r="X299" s="38"/>
      <c r="Y299" s="38"/>
      <c r="Z299" s="38"/>
      <c r="AA299" s="38"/>
      <c r="AB299" s="38"/>
      <c r="AC299" s="38"/>
      <c r="AD299" s="38"/>
      <c r="AE299" s="38"/>
      <c r="AF299" s="38"/>
      <c r="AG299" s="43"/>
      <c r="AH299" s="44"/>
      <c r="AI299" s="45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  <c r="CH299" s="38"/>
    </row>
    <row r="300" spans="1:86" ht="28.8">
      <c r="A300" s="33">
        <v>45562</v>
      </c>
      <c r="B300" s="1" t="s">
        <v>730</v>
      </c>
      <c r="C300" s="1" t="s">
        <v>731</v>
      </c>
      <c r="D300" s="1"/>
      <c r="E300" s="38" t="s">
        <v>99</v>
      </c>
      <c r="F300" s="38">
        <v>345</v>
      </c>
      <c r="G300" s="38" t="s">
        <v>732</v>
      </c>
      <c r="H300" s="38">
        <v>68</v>
      </c>
      <c r="I300" s="38">
        <v>210</v>
      </c>
      <c r="J300" s="11">
        <f t="shared" si="91"/>
        <v>210</v>
      </c>
      <c r="K300" s="5">
        <f t="shared" si="90"/>
        <v>895.14066496163673</v>
      </c>
      <c r="L300" s="39">
        <v>1</v>
      </c>
      <c r="M300" s="37">
        <f t="shared" si="88"/>
        <v>1</v>
      </c>
      <c r="N300" s="38"/>
      <c r="O300" s="46"/>
      <c r="P300" s="42">
        <f t="shared" si="86"/>
        <v>210</v>
      </c>
      <c r="Q300" s="38" t="s">
        <v>485</v>
      </c>
      <c r="R300" s="38"/>
      <c r="S300" s="38"/>
      <c r="T300" s="38"/>
      <c r="U300" s="37">
        <f t="shared" si="89"/>
        <v>1</v>
      </c>
      <c r="V300" s="38">
        <v>3</v>
      </c>
      <c r="W300" s="38" t="s">
        <v>640</v>
      </c>
      <c r="X300" s="38"/>
      <c r="Y300" s="38"/>
      <c r="Z300" s="38"/>
      <c r="AA300" s="38"/>
      <c r="AB300" s="38"/>
      <c r="AC300" s="38"/>
      <c r="AD300" s="38"/>
      <c r="AE300" s="38"/>
      <c r="AF300" s="38"/>
      <c r="AG300" s="43"/>
      <c r="AH300" s="44"/>
      <c r="AI300" s="45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  <c r="CH300" s="38"/>
    </row>
    <row r="301" spans="1:86">
      <c r="A301" s="33">
        <v>45562</v>
      </c>
      <c r="B301" s="1"/>
      <c r="C301" s="1"/>
      <c r="D301" s="1"/>
      <c r="E301" s="38"/>
      <c r="F301" s="38">
        <v>110</v>
      </c>
      <c r="G301" s="38"/>
      <c r="H301" s="38">
        <v>31</v>
      </c>
      <c r="I301" s="38">
        <v>80</v>
      </c>
      <c r="J301" s="11">
        <f t="shared" si="91"/>
        <v>80</v>
      </c>
      <c r="K301" s="5">
        <f t="shared" si="90"/>
        <v>2346.0410557184746</v>
      </c>
      <c r="L301" s="39">
        <v>1</v>
      </c>
      <c r="M301" s="37">
        <f t="shared" si="88"/>
        <v>1</v>
      </c>
      <c r="N301" s="38"/>
      <c r="O301" s="46"/>
      <c r="P301" s="42">
        <f t="shared" si="86"/>
        <v>80</v>
      </c>
      <c r="Q301" s="38" t="s">
        <v>485</v>
      </c>
      <c r="R301" s="38"/>
      <c r="S301" s="38"/>
      <c r="T301" s="38"/>
      <c r="U301" s="37">
        <f t="shared" si="89"/>
        <v>1</v>
      </c>
      <c r="V301" s="38">
        <v>3</v>
      </c>
      <c r="W301" s="38" t="s">
        <v>624</v>
      </c>
      <c r="X301" s="38"/>
      <c r="Y301" s="38"/>
      <c r="Z301" s="38"/>
      <c r="AA301" s="38"/>
      <c r="AB301" s="38"/>
      <c r="AC301" s="38"/>
      <c r="AD301" s="38"/>
      <c r="AE301" s="38"/>
      <c r="AF301" s="38"/>
      <c r="AG301" s="43"/>
      <c r="AH301" s="44"/>
      <c r="AI301" s="45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  <c r="CH301" s="38"/>
    </row>
    <row r="302" spans="1:86" ht="28.8">
      <c r="A302" s="33">
        <v>45702</v>
      </c>
      <c r="B302" s="1"/>
      <c r="C302" s="1"/>
      <c r="D302" s="1"/>
      <c r="E302" s="38" t="s">
        <v>37</v>
      </c>
      <c r="F302" s="38">
        <v>400</v>
      </c>
      <c r="G302" s="38"/>
      <c r="H302" s="38">
        <v>42.5</v>
      </c>
      <c r="I302" s="38">
        <v>187</v>
      </c>
      <c r="J302" s="11">
        <f t="shared" si="91"/>
        <v>561</v>
      </c>
      <c r="K302" s="5">
        <f t="shared" si="90"/>
        <v>3299.9999999999995</v>
      </c>
      <c r="L302" s="39">
        <v>3</v>
      </c>
      <c r="M302" s="37">
        <f t="shared" si="88"/>
        <v>3</v>
      </c>
      <c r="N302" s="38"/>
      <c r="O302" s="46"/>
      <c r="P302" s="42">
        <f t="shared" si="86"/>
        <v>561</v>
      </c>
      <c r="Q302" s="38" t="s">
        <v>445</v>
      </c>
      <c r="R302" s="38"/>
      <c r="S302" s="38"/>
      <c r="T302" s="38"/>
      <c r="U302" s="37">
        <f t="shared" si="89"/>
        <v>3</v>
      </c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43"/>
      <c r="AH302" s="44"/>
      <c r="AI302" s="45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  <c r="CH302" s="38"/>
    </row>
    <row r="303" spans="1:86">
      <c r="A303" s="33">
        <v>45739</v>
      </c>
      <c r="B303" s="1"/>
      <c r="C303" s="1"/>
      <c r="D303" s="1"/>
      <c r="E303" s="38" t="s">
        <v>41</v>
      </c>
      <c r="F303" s="38">
        <v>190</v>
      </c>
      <c r="G303" s="38"/>
      <c r="H303" s="38">
        <v>55</v>
      </c>
      <c r="I303" s="38">
        <v>294</v>
      </c>
      <c r="J303" s="11">
        <f t="shared" si="91"/>
        <v>294</v>
      </c>
      <c r="K303" s="5">
        <f t="shared" si="90"/>
        <v>2813.3971291866028</v>
      </c>
      <c r="L303" s="39">
        <v>1</v>
      </c>
      <c r="M303" s="37">
        <f t="shared" si="88"/>
        <v>1</v>
      </c>
      <c r="N303" s="38"/>
      <c r="O303" s="46"/>
      <c r="P303" s="42">
        <f t="shared" si="86"/>
        <v>294</v>
      </c>
      <c r="Q303" s="38" t="s">
        <v>449</v>
      </c>
      <c r="R303" s="38" t="s">
        <v>710</v>
      </c>
      <c r="S303" s="38"/>
      <c r="T303" s="38"/>
      <c r="U303" s="37">
        <f t="shared" si="89"/>
        <v>1</v>
      </c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43"/>
      <c r="AH303" s="44"/>
      <c r="AI303" s="45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</row>
    <row r="304" spans="1:86">
      <c r="A304" s="33">
        <v>45739</v>
      </c>
      <c r="B304" s="1"/>
      <c r="C304" s="1"/>
      <c r="D304" s="1"/>
      <c r="E304" s="38" t="s">
        <v>29</v>
      </c>
      <c r="F304" s="38">
        <v>70</v>
      </c>
      <c r="G304" s="38"/>
      <c r="H304" s="38">
        <v>54</v>
      </c>
      <c r="I304" s="38">
        <v>430</v>
      </c>
      <c r="J304" s="11">
        <f t="shared" si="91"/>
        <v>430</v>
      </c>
      <c r="K304" s="5">
        <f t="shared" si="90"/>
        <v>11375.661375661375</v>
      </c>
      <c r="L304" s="39">
        <v>1</v>
      </c>
      <c r="M304" s="37">
        <f t="shared" si="88"/>
        <v>1</v>
      </c>
      <c r="N304" s="38"/>
      <c r="O304" s="46"/>
      <c r="P304" s="42">
        <f t="shared" si="86"/>
        <v>430</v>
      </c>
      <c r="Q304" s="38" t="s">
        <v>449</v>
      </c>
      <c r="R304" s="38"/>
      <c r="S304" s="38"/>
      <c r="T304" s="38"/>
      <c r="U304" s="37">
        <f t="shared" si="89"/>
        <v>1</v>
      </c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43"/>
      <c r="AH304" s="44"/>
      <c r="AI304" s="45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  <c r="CH304" s="38"/>
    </row>
    <row r="305" spans="1:86">
      <c r="A305" s="33">
        <v>45739</v>
      </c>
      <c r="B305" s="1"/>
      <c r="C305" s="1"/>
      <c r="D305" s="1"/>
      <c r="E305" s="38" t="s">
        <v>41</v>
      </c>
      <c r="F305" s="38">
        <v>49</v>
      </c>
      <c r="G305" s="38"/>
      <c r="H305" s="38">
        <v>81</v>
      </c>
      <c r="I305" s="38">
        <v>550</v>
      </c>
      <c r="J305" s="11">
        <f t="shared" si="91"/>
        <v>550</v>
      </c>
      <c r="K305" s="5">
        <f t="shared" si="90"/>
        <v>13857.39480977576</v>
      </c>
      <c r="L305" s="39">
        <v>1</v>
      </c>
      <c r="M305" s="37">
        <f t="shared" si="88"/>
        <v>1</v>
      </c>
      <c r="N305" s="38"/>
      <c r="O305" s="46"/>
      <c r="P305" s="42">
        <f t="shared" si="86"/>
        <v>550</v>
      </c>
      <c r="Q305" s="38" t="s">
        <v>449</v>
      </c>
      <c r="R305" s="38" t="s">
        <v>733</v>
      </c>
      <c r="S305" s="38"/>
      <c r="T305" s="38"/>
      <c r="U305" s="37">
        <f t="shared" si="89"/>
        <v>1</v>
      </c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43"/>
      <c r="AH305" s="44"/>
      <c r="AI305" s="45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  <c r="CH305" s="38"/>
    </row>
    <row r="306" spans="1:86">
      <c r="A306" s="33">
        <v>45772</v>
      </c>
      <c r="B306" s="1" t="s">
        <v>734</v>
      </c>
      <c r="C306" s="1" t="s">
        <v>734</v>
      </c>
      <c r="D306" s="1"/>
      <c r="E306" s="38" t="s">
        <v>245</v>
      </c>
      <c r="F306" s="38">
        <v>130</v>
      </c>
      <c r="G306" s="38" t="s">
        <v>287</v>
      </c>
      <c r="H306" s="38">
        <v>215</v>
      </c>
      <c r="I306" s="38">
        <v>1010</v>
      </c>
      <c r="J306" s="11">
        <f t="shared" si="91"/>
        <v>1010</v>
      </c>
      <c r="K306" s="5">
        <f t="shared" si="90"/>
        <v>3613.5957066189621</v>
      </c>
      <c r="L306" s="39">
        <v>1</v>
      </c>
      <c r="M306" s="37">
        <f t="shared" si="88"/>
        <v>1</v>
      </c>
      <c r="N306" s="38"/>
      <c r="O306" s="46">
        <f>J306</f>
        <v>1010</v>
      </c>
      <c r="P306" s="42">
        <f t="shared" si="86"/>
        <v>0</v>
      </c>
      <c r="Q306" s="38"/>
      <c r="R306" s="38"/>
      <c r="S306" s="38"/>
      <c r="T306" s="38" t="s">
        <v>735</v>
      </c>
      <c r="U306" s="37">
        <f t="shared" si="89"/>
        <v>1</v>
      </c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43"/>
      <c r="AH306" s="44"/>
      <c r="AI306" s="45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  <c r="CH306" s="38"/>
    </row>
    <row r="307" spans="1:86">
      <c r="A307" s="33">
        <v>45797</v>
      </c>
      <c r="B307" s="1" t="s">
        <v>401</v>
      </c>
      <c r="C307" s="1" t="s">
        <v>401</v>
      </c>
      <c r="D307" s="1"/>
      <c r="E307" s="38" t="s">
        <v>50</v>
      </c>
      <c r="F307" s="38">
        <v>100</v>
      </c>
      <c r="G307" s="38" t="s">
        <v>402</v>
      </c>
      <c r="H307" s="38">
        <v>90</v>
      </c>
      <c r="I307" s="38">
        <v>988</v>
      </c>
      <c r="J307" s="11">
        <f t="shared" si="91"/>
        <v>988</v>
      </c>
      <c r="K307" s="5">
        <f t="shared" ref="K307:K337" si="92">+J307/(F307*H307*10^-5)</f>
        <v>10977.777777777777</v>
      </c>
      <c r="L307" s="39">
        <v>1</v>
      </c>
      <c r="M307" s="37">
        <f t="shared" si="88"/>
        <v>1</v>
      </c>
      <c r="N307" s="38"/>
      <c r="O307" s="46"/>
      <c r="P307" s="42">
        <f t="shared" si="86"/>
        <v>988</v>
      </c>
      <c r="Q307" s="38"/>
      <c r="R307" s="38"/>
      <c r="S307" s="38"/>
      <c r="T307" s="38"/>
      <c r="U307" s="37">
        <f t="shared" si="89"/>
        <v>1</v>
      </c>
      <c r="V307" s="38" t="s">
        <v>736</v>
      </c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43"/>
      <c r="AH307" s="44"/>
      <c r="AI307" s="45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  <c r="CH307" s="38"/>
    </row>
    <row r="308" spans="1:86">
      <c r="A308" s="33">
        <v>45797</v>
      </c>
      <c r="B308" s="1" t="s">
        <v>401</v>
      </c>
      <c r="C308" s="1" t="s">
        <v>401</v>
      </c>
      <c r="D308" s="1"/>
      <c r="E308" s="38" t="s">
        <v>50</v>
      </c>
      <c r="F308" s="38">
        <v>100</v>
      </c>
      <c r="G308" s="38" t="s">
        <v>402</v>
      </c>
      <c r="H308" s="38">
        <v>90</v>
      </c>
      <c r="I308" s="38">
        <v>1014</v>
      </c>
      <c r="J308" s="11">
        <f t="shared" si="91"/>
        <v>1014</v>
      </c>
      <c r="K308" s="5">
        <f t="shared" si="92"/>
        <v>11266.666666666666</v>
      </c>
      <c r="L308" s="39">
        <v>1</v>
      </c>
      <c r="M308" s="37">
        <f t="shared" si="88"/>
        <v>1</v>
      </c>
      <c r="N308" s="38"/>
      <c r="O308" s="46"/>
      <c r="P308" s="42">
        <f t="shared" si="86"/>
        <v>1014</v>
      </c>
      <c r="Q308" s="38"/>
      <c r="R308" s="38"/>
      <c r="S308" s="38"/>
      <c r="T308" s="38"/>
      <c r="U308" s="37">
        <f t="shared" si="89"/>
        <v>1</v>
      </c>
      <c r="V308" s="38" t="s">
        <v>736</v>
      </c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43"/>
      <c r="AH308" s="44"/>
      <c r="AI308" s="45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</row>
    <row r="309" spans="1:86">
      <c r="A309" s="33">
        <v>45797</v>
      </c>
      <c r="B309" s="1" t="s">
        <v>401</v>
      </c>
      <c r="C309" s="1" t="s">
        <v>401</v>
      </c>
      <c r="D309" s="1"/>
      <c r="E309" s="38" t="s">
        <v>50</v>
      </c>
      <c r="F309" s="38">
        <v>100</v>
      </c>
      <c r="G309" s="38" t="s">
        <v>402</v>
      </c>
      <c r="H309" s="38">
        <v>90</v>
      </c>
      <c r="I309" s="38">
        <v>990</v>
      </c>
      <c r="J309" s="11">
        <f t="shared" si="91"/>
        <v>990</v>
      </c>
      <c r="K309" s="5">
        <f t="shared" si="92"/>
        <v>10999.999999999998</v>
      </c>
      <c r="L309" s="39">
        <v>1</v>
      </c>
      <c r="M309" s="37">
        <f t="shared" si="88"/>
        <v>1</v>
      </c>
      <c r="N309" s="38"/>
      <c r="O309" s="46"/>
      <c r="P309" s="42">
        <f t="shared" si="86"/>
        <v>990</v>
      </c>
      <c r="Q309" s="38"/>
      <c r="R309" s="38"/>
      <c r="S309" s="38"/>
      <c r="T309" s="38"/>
      <c r="U309" s="37">
        <f t="shared" si="89"/>
        <v>1</v>
      </c>
      <c r="V309" s="38" t="s">
        <v>736</v>
      </c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43"/>
      <c r="AH309" s="44"/>
      <c r="AI309" s="45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  <c r="CH309" s="38"/>
    </row>
    <row r="310" spans="1:86">
      <c r="A310" s="33">
        <v>45797</v>
      </c>
      <c r="B310" s="1" t="s">
        <v>401</v>
      </c>
      <c r="C310" s="1" t="s">
        <v>401</v>
      </c>
      <c r="D310" s="1"/>
      <c r="E310" s="38" t="s">
        <v>50</v>
      </c>
      <c r="F310" s="38">
        <v>100</v>
      </c>
      <c r="G310" s="38" t="s">
        <v>402</v>
      </c>
      <c r="H310" s="38">
        <v>90</v>
      </c>
      <c r="I310" s="38">
        <v>1032</v>
      </c>
      <c r="J310" s="11">
        <f t="shared" si="91"/>
        <v>1032</v>
      </c>
      <c r="K310" s="5">
        <f t="shared" si="92"/>
        <v>11466.666666666666</v>
      </c>
      <c r="L310" s="39">
        <v>1</v>
      </c>
      <c r="M310" s="37">
        <f t="shared" si="88"/>
        <v>1</v>
      </c>
      <c r="N310" s="38"/>
      <c r="O310" s="46"/>
      <c r="P310" s="42">
        <f t="shared" si="86"/>
        <v>1032</v>
      </c>
      <c r="Q310" s="38"/>
      <c r="R310" s="38"/>
      <c r="S310" s="38"/>
      <c r="T310" s="38"/>
      <c r="U310" s="37">
        <f t="shared" si="89"/>
        <v>1</v>
      </c>
      <c r="V310" s="38" t="s">
        <v>736</v>
      </c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43"/>
      <c r="AH310" s="44"/>
      <c r="AI310" s="45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  <c r="CH310" s="38"/>
    </row>
    <row r="311" spans="1:86">
      <c r="A311" s="33">
        <v>45797</v>
      </c>
      <c r="B311" s="1" t="s">
        <v>401</v>
      </c>
      <c r="C311" s="1" t="s">
        <v>401</v>
      </c>
      <c r="D311" s="1"/>
      <c r="E311" s="38" t="s">
        <v>50</v>
      </c>
      <c r="F311" s="38">
        <v>100</v>
      </c>
      <c r="G311" s="38" t="s">
        <v>402</v>
      </c>
      <c r="H311" s="38">
        <v>90</v>
      </c>
      <c r="I311" s="38">
        <v>995</v>
      </c>
      <c r="J311" s="11">
        <f t="shared" si="91"/>
        <v>995</v>
      </c>
      <c r="K311" s="5">
        <f t="shared" si="92"/>
        <v>11055.555555555555</v>
      </c>
      <c r="L311" s="39">
        <v>1</v>
      </c>
      <c r="M311" s="37">
        <f t="shared" si="88"/>
        <v>1</v>
      </c>
      <c r="N311" s="38"/>
      <c r="O311" s="46"/>
      <c r="P311" s="42">
        <f t="shared" si="86"/>
        <v>995</v>
      </c>
      <c r="Q311" s="38"/>
      <c r="R311" s="38"/>
      <c r="S311" s="38"/>
      <c r="T311" s="38"/>
      <c r="U311" s="37">
        <f t="shared" si="89"/>
        <v>1</v>
      </c>
      <c r="V311" s="38" t="s">
        <v>736</v>
      </c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43"/>
      <c r="AH311" s="44"/>
      <c r="AI311" s="45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</row>
    <row r="312" spans="1:86">
      <c r="A312" s="33">
        <v>45797</v>
      </c>
      <c r="B312" s="1" t="s">
        <v>401</v>
      </c>
      <c r="C312" s="1" t="s">
        <v>401</v>
      </c>
      <c r="D312" s="1"/>
      <c r="E312" s="38" t="s">
        <v>50</v>
      </c>
      <c r="F312" s="38">
        <v>100</v>
      </c>
      <c r="G312" s="38" t="s">
        <v>402</v>
      </c>
      <c r="H312" s="38">
        <v>90</v>
      </c>
      <c r="I312" s="38">
        <v>1023</v>
      </c>
      <c r="J312" s="11">
        <f t="shared" si="91"/>
        <v>1023</v>
      </c>
      <c r="K312" s="5">
        <f t="shared" si="92"/>
        <v>11366.666666666666</v>
      </c>
      <c r="L312" s="39">
        <v>1</v>
      </c>
      <c r="M312" s="37">
        <f t="shared" si="88"/>
        <v>1</v>
      </c>
      <c r="N312" s="38"/>
      <c r="O312" s="46"/>
      <c r="P312" s="42">
        <f t="shared" si="86"/>
        <v>1023</v>
      </c>
      <c r="Q312" s="38"/>
      <c r="R312" s="38"/>
      <c r="S312" s="38"/>
      <c r="T312" s="38"/>
      <c r="U312" s="37">
        <f t="shared" si="89"/>
        <v>1</v>
      </c>
      <c r="V312" s="38" t="s">
        <v>736</v>
      </c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43"/>
      <c r="AH312" s="44"/>
      <c r="AI312" s="45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8"/>
      <c r="CE312" s="38"/>
      <c r="CF312" s="38"/>
      <c r="CG312" s="38"/>
      <c r="CH312" s="38"/>
    </row>
    <row r="313" spans="1:86">
      <c r="A313" s="33">
        <v>45797</v>
      </c>
      <c r="B313" s="1" t="s">
        <v>401</v>
      </c>
      <c r="C313" s="1" t="s">
        <v>401</v>
      </c>
      <c r="D313" s="1"/>
      <c r="E313" s="38" t="s">
        <v>50</v>
      </c>
      <c r="F313" s="38">
        <v>100</v>
      </c>
      <c r="G313" s="38" t="s">
        <v>402</v>
      </c>
      <c r="H313" s="38">
        <v>90</v>
      </c>
      <c r="I313" s="38">
        <v>989</v>
      </c>
      <c r="J313" s="11">
        <f t="shared" si="91"/>
        <v>989</v>
      </c>
      <c r="K313" s="5">
        <f t="shared" si="92"/>
        <v>10988.888888888887</v>
      </c>
      <c r="L313" s="39">
        <v>1</v>
      </c>
      <c r="M313" s="37">
        <f t="shared" si="88"/>
        <v>1</v>
      </c>
      <c r="N313" s="38"/>
      <c r="O313" s="46"/>
      <c r="P313" s="42">
        <f t="shared" si="86"/>
        <v>989</v>
      </c>
      <c r="Q313" s="38"/>
      <c r="R313" s="38"/>
      <c r="S313" s="38"/>
      <c r="T313" s="38"/>
      <c r="U313" s="37">
        <f t="shared" si="89"/>
        <v>1</v>
      </c>
      <c r="V313" s="38" t="s">
        <v>736</v>
      </c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43"/>
      <c r="AH313" s="44"/>
      <c r="AI313" s="45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</row>
    <row r="314" spans="1:86">
      <c r="A314" s="33">
        <v>45797</v>
      </c>
      <c r="B314" s="1" t="s">
        <v>401</v>
      </c>
      <c r="C314" s="1" t="s">
        <v>401</v>
      </c>
      <c r="D314" s="1"/>
      <c r="E314" s="38" t="s">
        <v>50</v>
      </c>
      <c r="F314" s="38">
        <v>100</v>
      </c>
      <c r="G314" s="38" t="s">
        <v>402</v>
      </c>
      <c r="H314" s="38">
        <v>90</v>
      </c>
      <c r="I314" s="38">
        <v>993</v>
      </c>
      <c r="J314" s="11">
        <f t="shared" si="91"/>
        <v>993</v>
      </c>
      <c r="K314" s="5">
        <f t="shared" si="92"/>
        <v>11033.333333333332</v>
      </c>
      <c r="L314" s="39">
        <v>1</v>
      </c>
      <c r="M314" s="37">
        <f t="shared" si="88"/>
        <v>1</v>
      </c>
      <c r="N314" s="38"/>
      <c r="O314" s="46"/>
      <c r="P314" s="42">
        <f t="shared" si="86"/>
        <v>993</v>
      </c>
      <c r="Q314" s="38"/>
      <c r="R314" s="38"/>
      <c r="S314" s="38"/>
      <c r="T314" s="38"/>
      <c r="U314" s="37">
        <f t="shared" si="89"/>
        <v>1</v>
      </c>
      <c r="V314" s="38" t="s">
        <v>736</v>
      </c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43"/>
      <c r="AH314" s="44"/>
      <c r="AI314" s="45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</row>
    <row r="315" spans="1:86">
      <c r="A315" s="33">
        <v>45797</v>
      </c>
      <c r="B315" s="1" t="s">
        <v>401</v>
      </c>
      <c r="C315" s="1" t="s">
        <v>401</v>
      </c>
      <c r="D315" s="1"/>
      <c r="E315" s="38" t="s">
        <v>50</v>
      </c>
      <c r="F315" s="38">
        <v>100</v>
      </c>
      <c r="G315" s="38" t="s">
        <v>402</v>
      </c>
      <c r="H315" s="38">
        <v>90</v>
      </c>
      <c r="I315" s="38">
        <v>994</v>
      </c>
      <c r="J315" s="11">
        <f t="shared" si="91"/>
        <v>994</v>
      </c>
      <c r="K315" s="5">
        <f t="shared" si="92"/>
        <v>11044.444444444443</v>
      </c>
      <c r="L315" s="39">
        <v>1</v>
      </c>
      <c r="M315" s="37">
        <f t="shared" si="88"/>
        <v>1</v>
      </c>
      <c r="N315" s="38"/>
      <c r="O315" s="46"/>
      <c r="P315" s="42">
        <f t="shared" si="86"/>
        <v>994</v>
      </c>
      <c r="Q315" s="38"/>
      <c r="R315" s="38"/>
      <c r="S315" s="38"/>
      <c r="T315" s="38"/>
      <c r="U315" s="37">
        <f t="shared" si="89"/>
        <v>1</v>
      </c>
      <c r="V315" s="38" t="s">
        <v>736</v>
      </c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43"/>
      <c r="AH315" s="44"/>
      <c r="AI315" s="45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</row>
    <row r="316" spans="1:86">
      <c r="A316" s="33">
        <v>45797</v>
      </c>
      <c r="B316" s="1" t="s">
        <v>401</v>
      </c>
      <c r="C316" s="1" t="s">
        <v>401</v>
      </c>
      <c r="D316" s="1"/>
      <c r="E316" s="38" t="s">
        <v>50</v>
      </c>
      <c r="F316" s="38">
        <v>100</v>
      </c>
      <c r="G316" s="38" t="s">
        <v>402</v>
      </c>
      <c r="H316" s="38">
        <v>90</v>
      </c>
      <c r="I316" s="38">
        <v>1028</v>
      </c>
      <c r="J316" s="11">
        <f t="shared" si="91"/>
        <v>1028</v>
      </c>
      <c r="K316" s="5">
        <f t="shared" si="92"/>
        <v>11422.222222222221</v>
      </c>
      <c r="L316" s="39">
        <v>1</v>
      </c>
      <c r="M316" s="37">
        <f t="shared" si="88"/>
        <v>1</v>
      </c>
      <c r="N316" s="38"/>
      <c r="O316" s="46"/>
      <c r="P316" s="42">
        <f t="shared" si="86"/>
        <v>1028</v>
      </c>
      <c r="Q316" s="38"/>
      <c r="R316" s="38"/>
      <c r="S316" s="38"/>
      <c r="T316" s="38"/>
      <c r="U316" s="37">
        <f t="shared" si="89"/>
        <v>1</v>
      </c>
      <c r="V316" s="38" t="s">
        <v>736</v>
      </c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43"/>
      <c r="AH316" s="44"/>
      <c r="AI316" s="45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  <c r="CH316" s="38"/>
    </row>
    <row r="317" spans="1:86">
      <c r="A317" s="33">
        <v>45797</v>
      </c>
      <c r="B317" s="1" t="s">
        <v>401</v>
      </c>
      <c r="C317" s="1" t="s">
        <v>401</v>
      </c>
      <c r="D317" s="1"/>
      <c r="E317" s="38" t="s">
        <v>50</v>
      </c>
      <c r="F317" s="38">
        <v>100</v>
      </c>
      <c r="G317" s="38" t="s">
        <v>402</v>
      </c>
      <c r="H317" s="38">
        <v>90</v>
      </c>
      <c r="I317" s="38">
        <v>987</v>
      </c>
      <c r="J317" s="11">
        <f t="shared" si="91"/>
        <v>987</v>
      </c>
      <c r="K317" s="5">
        <f t="shared" si="92"/>
        <v>10966.666666666666</v>
      </c>
      <c r="L317" s="39">
        <v>1</v>
      </c>
      <c r="M317" s="37">
        <f t="shared" si="88"/>
        <v>1</v>
      </c>
      <c r="N317" s="38"/>
      <c r="O317" s="46"/>
      <c r="P317" s="42">
        <f t="shared" si="86"/>
        <v>987</v>
      </c>
      <c r="Q317" s="38"/>
      <c r="R317" s="38"/>
      <c r="S317" s="38"/>
      <c r="T317" s="38"/>
      <c r="U317" s="37">
        <f t="shared" si="89"/>
        <v>1</v>
      </c>
      <c r="V317" s="38" t="s">
        <v>736</v>
      </c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43"/>
      <c r="AH317" s="44"/>
      <c r="AI317" s="45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</row>
    <row r="318" spans="1:86">
      <c r="A318" s="33">
        <v>45797</v>
      </c>
      <c r="B318" s="1" t="s">
        <v>401</v>
      </c>
      <c r="C318" s="1" t="s">
        <v>401</v>
      </c>
      <c r="D318" s="1"/>
      <c r="E318" s="38" t="s">
        <v>50</v>
      </c>
      <c r="F318" s="38">
        <v>100</v>
      </c>
      <c r="G318" s="38" t="s">
        <v>402</v>
      </c>
      <c r="H318" s="38">
        <v>90</v>
      </c>
      <c r="I318" s="38">
        <v>1004</v>
      </c>
      <c r="J318" s="11">
        <f t="shared" si="91"/>
        <v>1004</v>
      </c>
      <c r="K318" s="5">
        <f t="shared" si="92"/>
        <v>11155.555555555555</v>
      </c>
      <c r="L318" s="39">
        <v>1</v>
      </c>
      <c r="M318" s="37">
        <f t="shared" si="88"/>
        <v>1</v>
      </c>
      <c r="N318" s="38"/>
      <c r="O318" s="46"/>
      <c r="P318" s="42">
        <f t="shared" si="86"/>
        <v>1004</v>
      </c>
      <c r="Q318" s="38"/>
      <c r="R318" s="38"/>
      <c r="S318" s="38"/>
      <c r="T318" s="38"/>
      <c r="U318" s="37">
        <f t="shared" si="89"/>
        <v>1</v>
      </c>
      <c r="V318" s="38" t="s">
        <v>736</v>
      </c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43"/>
      <c r="AH318" s="44"/>
      <c r="AI318" s="45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</row>
    <row r="319" spans="1:86">
      <c r="A319" s="33">
        <v>45797</v>
      </c>
      <c r="B319" s="1" t="s">
        <v>401</v>
      </c>
      <c r="C319" s="1" t="s">
        <v>401</v>
      </c>
      <c r="D319" s="1"/>
      <c r="E319" s="38" t="s">
        <v>50</v>
      </c>
      <c r="F319" s="38">
        <v>100</v>
      </c>
      <c r="G319" s="38" t="s">
        <v>402</v>
      </c>
      <c r="H319" s="38">
        <v>90</v>
      </c>
      <c r="I319" s="38">
        <v>1007</v>
      </c>
      <c r="J319" s="11">
        <f t="shared" si="91"/>
        <v>1007</v>
      </c>
      <c r="K319" s="5">
        <f t="shared" si="92"/>
        <v>11188.888888888887</v>
      </c>
      <c r="L319" s="39">
        <v>1</v>
      </c>
      <c r="M319" s="37">
        <f t="shared" si="88"/>
        <v>1</v>
      </c>
      <c r="N319" s="38"/>
      <c r="O319" s="46"/>
      <c r="P319" s="42">
        <f t="shared" si="86"/>
        <v>1007</v>
      </c>
      <c r="Q319" s="38"/>
      <c r="R319" s="38"/>
      <c r="S319" s="38"/>
      <c r="T319" s="38"/>
      <c r="U319" s="37">
        <f t="shared" si="89"/>
        <v>1</v>
      </c>
      <c r="V319" s="38" t="s">
        <v>736</v>
      </c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43"/>
      <c r="AH319" s="44"/>
      <c r="AI319" s="45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  <c r="CH319" s="38"/>
    </row>
    <row r="320" spans="1:86">
      <c r="A320" s="33">
        <v>45797</v>
      </c>
      <c r="B320" s="1" t="s">
        <v>401</v>
      </c>
      <c r="C320" s="1" t="s">
        <v>401</v>
      </c>
      <c r="D320" s="1"/>
      <c r="E320" s="38" t="s">
        <v>50</v>
      </c>
      <c r="F320" s="38">
        <v>100</v>
      </c>
      <c r="G320" s="38" t="s">
        <v>402</v>
      </c>
      <c r="H320" s="38">
        <v>90</v>
      </c>
      <c r="I320" s="38">
        <v>988</v>
      </c>
      <c r="J320" s="11">
        <f t="shared" si="91"/>
        <v>988</v>
      </c>
      <c r="K320" s="5">
        <f t="shared" si="92"/>
        <v>10977.777777777777</v>
      </c>
      <c r="L320" s="39">
        <v>1</v>
      </c>
      <c r="M320" s="37">
        <f t="shared" si="88"/>
        <v>1</v>
      </c>
      <c r="N320" s="38"/>
      <c r="O320" s="46"/>
      <c r="P320" s="42">
        <f t="shared" ref="P320:P374" si="93">+J320-O320</f>
        <v>988</v>
      </c>
      <c r="Q320" s="38"/>
      <c r="R320" s="38"/>
      <c r="S320" s="38"/>
      <c r="T320" s="38"/>
      <c r="U320" s="37">
        <f t="shared" si="89"/>
        <v>1</v>
      </c>
      <c r="V320" s="38" t="s">
        <v>736</v>
      </c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43"/>
      <c r="AH320" s="44"/>
      <c r="AI320" s="45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  <c r="CH320" s="38"/>
    </row>
    <row r="321" spans="1:86">
      <c r="A321" s="33">
        <v>45797</v>
      </c>
      <c r="B321" s="1" t="s">
        <v>401</v>
      </c>
      <c r="C321" s="1" t="s">
        <v>401</v>
      </c>
      <c r="D321" s="1"/>
      <c r="E321" s="38" t="s">
        <v>41</v>
      </c>
      <c r="F321" s="38">
        <v>100</v>
      </c>
      <c r="G321" s="38" t="s">
        <v>402</v>
      </c>
      <c r="H321" s="38">
        <v>90</v>
      </c>
      <c r="I321" s="38">
        <v>1033</v>
      </c>
      <c r="J321" s="11">
        <f t="shared" si="91"/>
        <v>1033</v>
      </c>
      <c r="K321" s="5">
        <f t="shared" si="92"/>
        <v>11477.777777777776</v>
      </c>
      <c r="L321" s="39">
        <v>1</v>
      </c>
      <c r="M321" s="37">
        <f t="shared" si="88"/>
        <v>1</v>
      </c>
      <c r="N321" s="38"/>
      <c r="O321" s="46"/>
      <c r="P321" s="42">
        <f t="shared" si="93"/>
        <v>1033</v>
      </c>
      <c r="Q321" s="38"/>
      <c r="R321" s="38"/>
      <c r="S321" s="38"/>
      <c r="T321" s="38"/>
      <c r="U321" s="37">
        <f t="shared" si="89"/>
        <v>1</v>
      </c>
      <c r="V321" s="38" t="s">
        <v>737</v>
      </c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43"/>
      <c r="AH321" s="44"/>
      <c r="AI321" s="45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38"/>
      <c r="CC321" s="38"/>
      <c r="CD321" s="38"/>
      <c r="CE321" s="38"/>
      <c r="CF321" s="38"/>
      <c r="CG321" s="38"/>
      <c r="CH321" s="38"/>
    </row>
    <row r="322" spans="1:86">
      <c r="A322" s="33">
        <v>45797</v>
      </c>
      <c r="B322" s="1" t="s">
        <v>401</v>
      </c>
      <c r="C322" s="1" t="s">
        <v>401</v>
      </c>
      <c r="D322" s="1"/>
      <c r="E322" s="38" t="s">
        <v>41</v>
      </c>
      <c r="F322" s="38">
        <v>100</v>
      </c>
      <c r="G322" s="38" t="s">
        <v>402</v>
      </c>
      <c r="H322" s="38">
        <v>90</v>
      </c>
      <c r="I322" s="38">
        <v>991</v>
      </c>
      <c r="J322" s="11">
        <f t="shared" si="91"/>
        <v>991</v>
      </c>
      <c r="K322" s="5">
        <f t="shared" si="92"/>
        <v>11011.111111111109</v>
      </c>
      <c r="L322" s="39">
        <v>1</v>
      </c>
      <c r="M322" s="37">
        <f t="shared" ref="M322:M368" si="94">+L322-X322-Z322-AD322-AB322-AF322-AH322-AJ322-AL322-AO322-AQ322-AS322-AU322-AW322-AY322-BA322-BC322-BE322-BG322-BI322-BK322-BM322-BO322-BQ322-BS322-BU322-BW322-BY322-CA322-CC322-CE322-CG322</f>
        <v>1</v>
      </c>
      <c r="N322" s="38"/>
      <c r="O322" s="46"/>
      <c r="P322" s="42">
        <f t="shared" si="93"/>
        <v>991</v>
      </c>
      <c r="Q322" s="38"/>
      <c r="R322" s="38"/>
      <c r="S322" s="38"/>
      <c r="T322" s="38"/>
      <c r="U322" s="37">
        <f t="shared" si="89"/>
        <v>1</v>
      </c>
      <c r="V322" s="38" t="s">
        <v>737</v>
      </c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43"/>
      <c r="AH322" s="44"/>
      <c r="AI322" s="45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38"/>
      <c r="CC322" s="38"/>
      <c r="CD322" s="38"/>
      <c r="CE322" s="38"/>
      <c r="CF322" s="38"/>
      <c r="CG322" s="38"/>
      <c r="CH322" s="38"/>
    </row>
    <row r="323" spans="1:86">
      <c r="A323" s="33">
        <v>45797</v>
      </c>
      <c r="B323" s="1" t="s">
        <v>401</v>
      </c>
      <c r="C323" s="1" t="s">
        <v>401</v>
      </c>
      <c r="D323" s="1"/>
      <c r="E323" s="38" t="s">
        <v>50</v>
      </c>
      <c r="F323" s="38">
        <v>100</v>
      </c>
      <c r="G323" s="38" t="s">
        <v>402</v>
      </c>
      <c r="H323" s="38">
        <v>90</v>
      </c>
      <c r="I323" s="38">
        <v>1019</v>
      </c>
      <c r="J323" s="11">
        <f t="shared" si="91"/>
        <v>1019</v>
      </c>
      <c r="K323" s="5">
        <f t="shared" si="92"/>
        <v>11322.222222222221</v>
      </c>
      <c r="L323" s="39">
        <v>1</v>
      </c>
      <c r="M323" s="37">
        <f t="shared" si="94"/>
        <v>1</v>
      </c>
      <c r="N323" s="38"/>
      <c r="O323" s="46"/>
      <c r="P323" s="42">
        <f t="shared" si="93"/>
        <v>1019</v>
      </c>
      <c r="Q323" s="38"/>
      <c r="R323" s="38"/>
      <c r="S323" s="38"/>
      <c r="T323" s="38"/>
      <c r="U323" s="37">
        <f t="shared" si="89"/>
        <v>1</v>
      </c>
      <c r="V323" s="38" t="s">
        <v>737</v>
      </c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43"/>
      <c r="AH323" s="44"/>
      <c r="AI323" s="45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  <c r="CH323" s="38"/>
    </row>
    <row r="324" spans="1:86">
      <c r="A324" s="33">
        <v>45797</v>
      </c>
      <c r="B324" s="1" t="s">
        <v>401</v>
      </c>
      <c r="C324" s="1" t="s">
        <v>401</v>
      </c>
      <c r="D324" s="1"/>
      <c r="E324" s="38" t="s">
        <v>50</v>
      </c>
      <c r="F324" s="38">
        <v>100</v>
      </c>
      <c r="G324" s="38" t="s">
        <v>402</v>
      </c>
      <c r="H324" s="38">
        <v>90</v>
      </c>
      <c r="I324" s="38">
        <v>989</v>
      </c>
      <c r="J324" s="11">
        <f t="shared" si="91"/>
        <v>989</v>
      </c>
      <c r="K324" s="5">
        <f t="shared" si="92"/>
        <v>10988.888888888887</v>
      </c>
      <c r="L324" s="39">
        <v>1</v>
      </c>
      <c r="M324" s="37">
        <f t="shared" si="94"/>
        <v>1</v>
      </c>
      <c r="N324" s="38"/>
      <c r="O324" s="46"/>
      <c r="P324" s="42">
        <f t="shared" si="93"/>
        <v>989</v>
      </c>
      <c r="Q324" s="38"/>
      <c r="R324" s="38"/>
      <c r="S324" s="38"/>
      <c r="T324" s="38"/>
      <c r="U324" s="37">
        <f t="shared" si="89"/>
        <v>1</v>
      </c>
      <c r="V324" s="38" t="s">
        <v>737</v>
      </c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43"/>
      <c r="AH324" s="44"/>
      <c r="AI324" s="45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38"/>
      <c r="CC324" s="38"/>
      <c r="CD324" s="38"/>
      <c r="CE324" s="38"/>
      <c r="CF324" s="38"/>
      <c r="CG324" s="38"/>
      <c r="CH324" s="38"/>
    </row>
    <row r="325" spans="1:86">
      <c r="A325" s="33">
        <v>45797</v>
      </c>
      <c r="B325" s="1" t="s">
        <v>401</v>
      </c>
      <c r="C325" s="1" t="s">
        <v>401</v>
      </c>
      <c r="D325" s="1"/>
      <c r="E325" s="38" t="s">
        <v>50</v>
      </c>
      <c r="F325" s="38">
        <v>100</v>
      </c>
      <c r="G325" s="38" t="s">
        <v>402</v>
      </c>
      <c r="H325" s="38">
        <v>90</v>
      </c>
      <c r="I325" s="38">
        <v>983</v>
      </c>
      <c r="J325" s="11">
        <f t="shared" si="91"/>
        <v>983</v>
      </c>
      <c r="K325" s="5">
        <f t="shared" si="92"/>
        <v>10922.222222222221</v>
      </c>
      <c r="L325" s="39">
        <v>1</v>
      </c>
      <c r="M325" s="37">
        <f t="shared" si="94"/>
        <v>1</v>
      </c>
      <c r="N325" s="38"/>
      <c r="O325" s="46"/>
      <c r="P325" s="42">
        <f t="shared" si="93"/>
        <v>983</v>
      </c>
      <c r="Q325" s="38"/>
      <c r="R325" s="38"/>
      <c r="S325" s="38"/>
      <c r="T325" s="38"/>
      <c r="U325" s="37">
        <f t="shared" si="89"/>
        <v>1</v>
      </c>
      <c r="V325" s="38" t="s">
        <v>737</v>
      </c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43"/>
      <c r="AH325" s="44"/>
      <c r="AI325" s="45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  <c r="CH325" s="38"/>
    </row>
    <row r="326" spans="1:86">
      <c r="A326" s="33">
        <v>45797</v>
      </c>
      <c r="B326" s="1" t="s">
        <v>401</v>
      </c>
      <c r="C326" s="1" t="s">
        <v>401</v>
      </c>
      <c r="D326" s="1"/>
      <c r="E326" s="38" t="s">
        <v>50</v>
      </c>
      <c r="F326" s="38">
        <v>100</v>
      </c>
      <c r="G326" s="38" t="s">
        <v>402</v>
      </c>
      <c r="H326" s="38">
        <v>90</v>
      </c>
      <c r="I326" s="38">
        <v>992</v>
      </c>
      <c r="J326" s="11">
        <f t="shared" si="91"/>
        <v>992</v>
      </c>
      <c r="K326" s="5">
        <f t="shared" si="92"/>
        <v>11022.222222222221</v>
      </c>
      <c r="L326" s="39">
        <v>1</v>
      </c>
      <c r="M326" s="37">
        <f t="shared" si="94"/>
        <v>1</v>
      </c>
      <c r="N326" s="38"/>
      <c r="O326" s="46"/>
      <c r="P326" s="42">
        <f t="shared" si="93"/>
        <v>992</v>
      </c>
      <c r="Q326" s="38"/>
      <c r="R326" s="38"/>
      <c r="S326" s="38"/>
      <c r="T326" s="38"/>
      <c r="U326" s="37">
        <f t="shared" si="89"/>
        <v>1</v>
      </c>
      <c r="V326" s="38" t="s">
        <v>737</v>
      </c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43"/>
      <c r="AH326" s="44"/>
      <c r="AI326" s="45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  <c r="CH326" s="38"/>
    </row>
    <row r="327" spans="1:86">
      <c r="A327" s="33">
        <v>45797</v>
      </c>
      <c r="B327" s="1" t="s">
        <v>401</v>
      </c>
      <c r="C327" s="1" t="s">
        <v>401</v>
      </c>
      <c r="D327" s="1"/>
      <c r="E327" s="38" t="s">
        <v>50</v>
      </c>
      <c r="F327" s="38">
        <v>100</v>
      </c>
      <c r="G327" s="38" t="s">
        <v>402</v>
      </c>
      <c r="H327" s="38">
        <v>90</v>
      </c>
      <c r="I327" s="38">
        <v>992</v>
      </c>
      <c r="J327" s="11">
        <f t="shared" si="91"/>
        <v>992</v>
      </c>
      <c r="K327" s="5">
        <f t="shared" si="92"/>
        <v>11022.222222222221</v>
      </c>
      <c r="L327" s="39">
        <v>1</v>
      </c>
      <c r="M327" s="37">
        <f t="shared" si="94"/>
        <v>1</v>
      </c>
      <c r="N327" s="38"/>
      <c r="O327" s="46"/>
      <c r="P327" s="42">
        <f t="shared" si="93"/>
        <v>992</v>
      </c>
      <c r="Q327" s="38"/>
      <c r="R327" s="38"/>
      <c r="S327" s="38"/>
      <c r="T327" s="38"/>
      <c r="U327" s="37">
        <f t="shared" si="89"/>
        <v>1</v>
      </c>
      <c r="V327" s="38" t="s">
        <v>737</v>
      </c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43"/>
      <c r="AH327" s="44"/>
      <c r="AI327" s="45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38"/>
      <c r="CC327" s="38"/>
      <c r="CD327" s="38"/>
      <c r="CE327" s="38"/>
      <c r="CF327" s="38"/>
      <c r="CG327" s="38"/>
      <c r="CH327" s="38"/>
    </row>
    <row r="328" spans="1:86">
      <c r="A328" s="33">
        <v>45797</v>
      </c>
      <c r="B328" s="1" t="s">
        <v>401</v>
      </c>
      <c r="C328" s="1" t="s">
        <v>401</v>
      </c>
      <c r="D328" s="1"/>
      <c r="E328" s="38" t="s">
        <v>50</v>
      </c>
      <c r="F328" s="38">
        <v>100</v>
      </c>
      <c r="G328" s="38" t="s">
        <v>402</v>
      </c>
      <c r="H328" s="38">
        <v>90</v>
      </c>
      <c r="I328" s="38">
        <v>988</v>
      </c>
      <c r="J328" s="11">
        <f t="shared" si="91"/>
        <v>988</v>
      </c>
      <c r="K328" s="5">
        <f t="shared" si="92"/>
        <v>10977.777777777777</v>
      </c>
      <c r="L328" s="39">
        <v>1</v>
      </c>
      <c r="M328" s="37">
        <f t="shared" si="94"/>
        <v>1</v>
      </c>
      <c r="N328" s="38"/>
      <c r="O328" s="46"/>
      <c r="P328" s="42">
        <f t="shared" si="93"/>
        <v>988</v>
      </c>
      <c r="Q328" s="38"/>
      <c r="R328" s="38"/>
      <c r="S328" s="38"/>
      <c r="T328" s="38"/>
      <c r="U328" s="37">
        <f t="shared" si="89"/>
        <v>1</v>
      </c>
      <c r="V328" s="38" t="s">
        <v>737</v>
      </c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43"/>
      <c r="AH328" s="44"/>
      <c r="AI328" s="45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</row>
    <row r="329" spans="1:86">
      <c r="A329" s="33">
        <v>45797</v>
      </c>
      <c r="B329" s="1" t="s">
        <v>401</v>
      </c>
      <c r="C329" s="1" t="s">
        <v>401</v>
      </c>
      <c r="D329" s="1"/>
      <c r="E329" s="38" t="s">
        <v>50</v>
      </c>
      <c r="F329" s="38">
        <v>100</v>
      </c>
      <c r="G329" s="38" t="s">
        <v>402</v>
      </c>
      <c r="H329" s="38">
        <v>90</v>
      </c>
      <c r="I329" s="38">
        <v>987</v>
      </c>
      <c r="J329" s="11">
        <f t="shared" si="91"/>
        <v>987</v>
      </c>
      <c r="K329" s="5">
        <f t="shared" si="92"/>
        <v>10966.666666666666</v>
      </c>
      <c r="L329" s="39">
        <v>1</v>
      </c>
      <c r="M329" s="37">
        <f t="shared" si="94"/>
        <v>1</v>
      </c>
      <c r="N329" s="38"/>
      <c r="O329" s="46"/>
      <c r="P329" s="42">
        <f t="shared" si="93"/>
        <v>987</v>
      </c>
      <c r="Q329" s="38"/>
      <c r="R329" s="38"/>
      <c r="S329" s="38"/>
      <c r="T329" s="38"/>
      <c r="U329" s="37">
        <f t="shared" si="89"/>
        <v>1</v>
      </c>
      <c r="V329" s="38" t="s">
        <v>737</v>
      </c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43"/>
      <c r="AH329" s="44"/>
      <c r="AI329" s="45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38"/>
      <c r="CC329" s="38"/>
      <c r="CD329" s="38"/>
      <c r="CE329" s="38"/>
      <c r="CF329" s="38"/>
      <c r="CG329" s="38"/>
      <c r="CH329" s="38"/>
    </row>
    <row r="330" spans="1:86">
      <c r="A330" s="33">
        <v>45797</v>
      </c>
      <c r="B330" s="1" t="s">
        <v>401</v>
      </c>
      <c r="C330" s="1" t="s">
        <v>401</v>
      </c>
      <c r="D330" s="1"/>
      <c r="E330" s="38" t="s">
        <v>50</v>
      </c>
      <c r="F330" s="38">
        <v>100</v>
      </c>
      <c r="G330" s="38" t="s">
        <v>402</v>
      </c>
      <c r="H330" s="38">
        <v>90</v>
      </c>
      <c r="I330" s="38">
        <v>987</v>
      </c>
      <c r="J330" s="11">
        <f t="shared" si="91"/>
        <v>987</v>
      </c>
      <c r="K330" s="5">
        <f t="shared" si="92"/>
        <v>10966.666666666666</v>
      </c>
      <c r="L330" s="39">
        <v>1</v>
      </c>
      <c r="M330" s="37">
        <f t="shared" si="94"/>
        <v>1</v>
      </c>
      <c r="N330" s="38"/>
      <c r="O330" s="46"/>
      <c r="P330" s="42">
        <f t="shared" si="93"/>
        <v>987</v>
      </c>
      <c r="Q330" s="38"/>
      <c r="R330" s="38"/>
      <c r="S330" s="38"/>
      <c r="T330" s="38"/>
      <c r="U330" s="37">
        <f t="shared" si="89"/>
        <v>1</v>
      </c>
      <c r="V330" s="38" t="s">
        <v>737</v>
      </c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43"/>
      <c r="AH330" s="44"/>
      <c r="AI330" s="45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38"/>
      <c r="CC330" s="38"/>
      <c r="CD330" s="38"/>
      <c r="CE330" s="38"/>
      <c r="CF330" s="38"/>
      <c r="CG330" s="38"/>
      <c r="CH330" s="38"/>
    </row>
    <row r="331" spans="1:86">
      <c r="A331" s="33">
        <v>45797</v>
      </c>
      <c r="B331" s="1" t="s">
        <v>401</v>
      </c>
      <c r="C331" s="1" t="s">
        <v>401</v>
      </c>
      <c r="D331" s="1"/>
      <c r="E331" s="38" t="s">
        <v>50</v>
      </c>
      <c r="F331" s="38">
        <v>100</v>
      </c>
      <c r="G331" s="38" t="s">
        <v>402</v>
      </c>
      <c r="H331" s="38">
        <v>90</v>
      </c>
      <c r="I331" s="38">
        <v>989</v>
      </c>
      <c r="J331" s="11">
        <f t="shared" si="91"/>
        <v>989</v>
      </c>
      <c r="K331" s="5">
        <f t="shared" si="92"/>
        <v>10988.888888888887</v>
      </c>
      <c r="L331" s="39">
        <v>1</v>
      </c>
      <c r="M331" s="37">
        <f t="shared" si="94"/>
        <v>1</v>
      </c>
      <c r="N331" s="38"/>
      <c r="O331" s="46"/>
      <c r="P331" s="42">
        <f t="shared" si="93"/>
        <v>989</v>
      </c>
      <c r="Q331" s="38"/>
      <c r="R331" s="38"/>
      <c r="S331" s="38"/>
      <c r="T331" s="38"/>
      <c r="U331" s="37">
        <f t="shared" si="89"/>
        <v>1</v>
      </c>
      <c r="V331" s="38" t="s">
        <v>737</v>
      </c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43"/>
      <c r="AH331" s="44"/>
      <c r="AI331" s="45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  <c r="BT331" s="38"/>
      <c r="BU331" s="38"/>
      <c r="BV331" s="38"/>
      <c r="BW331" s="38"/>
      <c r="BX331" s="38"/>
      <c r="BY331" s="38"/>
      <c r="BZ331" s="38"/>
      <c r="CA331" s="38"/>
      <c r="CB331" s="38"/>
      <c r="CC331" s="38"/>
      <c r="CD331" s="38"/>
      <c r="CE331" s="38"/>
      <c r="CF331" s="38"/>
      <c r="CG331" s="38"/>
      <c r="CH331" s="38"/>
    </row>
    <row r="332" spans="1:86">
      <c r="A332" s="33">
        <v>45797</v>
      </c>
      <c r="B332" s="1" t="s">
        <v>401</v>
      </c>
      <c r="C332" s="1" t="s">
        <v>401</v>
      </c>
      <c r="D332" s="1"/>
      <c r="E332" s="38" t="s">
        <v>50</v>
      </c>
      <c r="F332" s="38">
        <v>100</v>
      </c>
      <c r="G332" s="38" t="s">
        <v>402</v>
      </c>
      <c r="H332" s="38">
        <v>90</v>
      </c>
      <c r="I332" s="38">
        <v>991</v>
      </c>
      <c r="J332" s="11">
        <f t="shared" si="91"/>
        <v>991</v>
      </c>
      <c r="K332" s="5">
        <f t="shared" si="92"/>
        <v>11011.111111111109</v>
      </c>
      <c r="L332" s="39">
        <v>1</v>
      </c>
      <c r="M332" s="37">
        <f t="shared" si="94"/>
        <v>1</v>
      </c>
      <c r="N332" s="38"/>
      <c r="O332" s="46"/>
      <c r="P332" s="42">
        <f t="shared" si="93"/>
        <v>991</v>
      </c>
      <c r="Q332" s="38"/>
      <c r="R332" s="38"/>
      <c r="S332" s="38"/>
      <c r="T332" s="38"/>
      <c r="U332" s="37">
        <f t="shared" si="89"/>
        <v>1</v>
      </c>
      <c r="V332" s="38" t="s">
        <v>737</v>
      </c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43"/>
      <c r="AH332" s="44"/>
      <c r="AI332" s="45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38"/>
      <c r="CC332" s="38"/>
      <c r="CD332" s="38"/>
      <c r="CE332" s="38"/>
      <c r="CF332" s="38"/>
      <c r="CG332" s="38"/>
      <c r="CH332" s="38"/>
    </row>
    <row r="333" spans="1:86">
      <c r="A333" s="33">
        <v>45797</v>
      </c>
      <c r="B333" s="1" t="s">
        <v>401</v>
      </c>
      <c r="C333" s="1" t="s">
        <v>401</v>
      </c>
      <c r="D333" s="1"/>
      <c r="E333" s="38" t="s">
        <v>50</v>
      </c>
      <c r="F333" s="38">
        <v>100</v>
      </c>
      <c r="G333" s="38" t="s">
        <v>402</v>
      </c>
      <c r="H333" s="38">
        <v>90</v>
      </c>
      <c r="I333" s="38">
        <v>994</v>
      </c>
      <c r="J333" s="11">
        <f t="shared" si="91"/>
        <v>994</v>
      </c>
      <c r="K333" s="5">
        <f t="shared" si="92"/>
        <v>11044.444444444443</v>
      </c>
      <c r="L333" s="39">
        <v>1</v>
      </c>
      <c r="M333" s="37">
        <f t="shared" si="94"/>
        <v>1</v>
      </c>
      <c r="N333" s="38"/>
      <c r="O333" s="46"/>
      <c r="P333" s="42">
        <f t="shared" si="93"/>
        <v>994</v>
      </c>
      <c r="Q333" s="38"/>
      <c r="R333" s="38"/>
      <c r="S333" s="38"/>
      <c r="T333" s="38"/>
      <c r="U333" s="37">
        <f t="shared" si="89"/>
        <v>1</v>
      </c>
      <c r="V333" s="38" t="s">
        <v>737</v>
      </c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43"/>
      <c r="AH333" s="44"/>
      <c r="AI333" s="45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  <c r="CH333" s="38"/>
    </row>
    <row r="334" spans="1:86">
      <c r="A334" s="33">
        <v>45797</v>
      </c>
      <c r="B334" s="1" t="s">
        <v>401</v>
      </c>
      <c r="C334" s="1" t="s">
        <v>401</v>
      </c>
      <c r="D334" s="1"/>
      <c r="E334" s="38" t="s">
        <v>50</v>
      </c>
      <c r="F334" s="38">
        <v>100</v>
      </c>
      <c r="G334" s="38" t="s">
        <v>402</v>
      </c>
      <c r="H334" s="38">
        <v>90</v>
      </c>
      <c r="I334" s="38">
        <v>992</v>
      </c>
      <c r="J334" s="11">
        <f t="shared" si="91"/>
        <v>992</v>
      </c>
      <c r="K334" s="5">
        <f t="shared" si="92"/>
        <v>11022.222222222221</v>
      </c>
      <c r="L334" s="39">
        <v>1</v>
      </c>
      <c r="M334" s="37">
        <f t="shared" si="94"/>
        <v>1</v>
      </c>
      <c r="N334" s="38"/>
      <c r="O334" s="46"/>
      <c r="P334" s="42">
        <f t="shared" si="93"/>
        <v>992</v>
      </c>
      <c r="Q334" s="38"/>
      <c r="R334" s="38"/>
      <c r="S334" s="38"/>
      <c r="T334" s="38"/>
      <c r="U334" s="37">
        <f t="shared" ref="U334:U377" si="95">+L334-X334-Z334-AD334-AB334-AF334-AH334-AJ334-AL334-AO334-AQ334-AS334-AU334-AW334-AY334-BA334-BC334-BE334-BG334-BI334-BK334-BM334-BO334-BQ334-BS334-BU334-BW334-BY334-CA334-CC334-CE334-CG334</f>
        <v>1</v>
      </c>
      <c r="V334" s="38" t="s">
        <v>737</v>
      </c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43"/>
      <c r="AH334" s="44"/>
      <c r="AI334" s="45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8"/>
      <c r="CE334" s="38"/>
      <c r="CF334" s="38"/>
      <c r="CG334" s="38"/>
      <c r="CH334" s="38"/>
    </row>
    <row r="335" spans="1:86">
      <c r="A335" s="33">
        <v>45797</v>
      </c>
      <c r="B335" s="1" t="s">
        <v>401</v>
      </c>
      <c r="C335" s="1" t="s">
        <v>401</v>
      </c>
      <c r="D335" s="1"/>
      <c r="E335" s="38" t="s">
        <v>50</v>
      </c>
      <c r="F335" s="38">
        <v>100</v>
      </c>
      <c r="G335" s="38" t="s">
        <v>402</v>
      </c>
      <c r="H335" s="38">
        <v>90</v>
      </c>
      <c r="I335" s="38">
        <v>987</v>
      </c>
      <c r="J335" s="11">
        <f t="shared" si="91"/>
        <v>987</v>
      </c>
      <c r="K335" s="5">
        <f t="shared" si="92"/>
        <v>10966.666666666666</v>
      </c>
      <c r="L335" s="39">
        <v>1</v>
      </c>
      <c r="M335" s="37">
        <f t="shared" si="94"/>
        <v>1</v>
      </c>
      <c r="N335" s="38"/>
      <c r="O335" s="46"/>
      <c r="P335" s="42">
        <f t="shared" si="93"/>
        <v>987</v>
      </c>
      <c r="Q335" s="38"/>
      <c r="R335" s="38"/>
      <c r="S335" s="38"/>
      <c r="T335" s="38"/>
      <c r="U335" s="37">
        <f t="shared" si="95"/>
        <v>1</v>
      </c>
      <c r="V335" s="38" t="s">
        <v>737</v>
      </c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43"/>
      <c r="AH335" s="44"/>
      <c r="AI335" s="45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8"/>
      <c r="CE335" s="38"/>
      <c r="CF335" s="38"/>
      <c r="CG335" s="38"/>
      <c r="CH335" s="38"/>
    </row>
    <row r="336" spans="1:86">
      <c r="A336" s="33">
        <v>45797</v>
      </c>
      <c r="B336" s="1" t="s">
        <v>401</v>
      </c>
      <c r="C336" s="1" t="s">
        <v>401</v>
      </c>
      <c r="D336" s="1"/>
      <c r="E336" s="38" t="s">
        <v>50</v>
      </c>
      <c r="F336" s="38">
        <v>100</v>
      </c>
      <c r="G336" s="38" t="s">
        <v>402</v>
      </c>
      <c r="H336" s="38">
        <v>90</v>
      </c>
      <c r="I336" s="38">
        <v>1038</v>
      </c>
      <c r="J336" s="11">
        <f t="shared" si="91"/>
        <v>1038</v>
      </c>
      <c r="K336" s="5">
        <f t="shared" si="92"/>
        <v>11533.333333333332</v>
      </c>
      <c r="L336" s="39">
        <v>1</v>
      </c>
      <c r="M336" s="37">
        <f t="shared" si="94"/>
        <v>1</v>
      </c>
      <c r="N336" s="38"/>
      <c r="O336" s="46"/>
      <c r="P336" s="42">
        <f t="shared" si="93"/>
        <v>1038</v>
      </c>
      <c r="Q336" s="38"/>
      <c r="R336" s="38"/>
      <c r="S336" s="38"/>
      <c r="T336" s="38"/>
      <c r="U336" s="37">
        <f t="shared" si="95"/>
        <v>1</v>
      </c>
      <c r="V336" s="38" t="s">
        <v>737</v>
      </c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43"/>
      <c r="AH336" s="44"/>
      <c r="AI336" s="45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8"/>
      <c r="CE336" s="38"/>
      <c r="CF336" s="38"/>
      <c r="CG336" s="38"/>
      <c r="CH336" s="38"/>
    </row>
    <row r="337" spans="1:86">
      <c r="A337" s="33">
        <v>45797</v>
      </c>
      <c r="B337" s="1" t="s">
        <v>401</v>
      </c>
      <c r="C337" s="1" t="s">
        <v>401</v>
      </c>
      <c r="D337" s="1"/>
      <c r="E337" s="38" t="s">
        <v>50</v>
      </c>
      <c r="F337" s="38">
        <v>100</v>
      </c>
      <c r="G337" s="38" t="s">
        <v>402</v>
      </c>
      <c r="H337" s="38">
        <v>90</v>
      </c>
      <c r="I337" s="38">
        <v>1036</v>
      </c>
      <c r="J337" s="11">
        <f t="shared" si="91"/>
        <v>1036</v>
      </c>
      <c r="K337" s="5">
        <f t="shared" si="92"/>
        <v>11511.111111111109</v>
      </c>
      <c r="L337" s="39">
        <v>1</v>
      </c>
      <c r="M337" s="37">
        <f t="shared" si="94"/>
        <v>1</v>
      </c>
      <c r="N337" s="38"/>
      <c r="O337" s="46"/>
      <c r="P337" s="42">
        <f t="shared" si="93"/>
        <v>1036</v>
      </c>
      <c r="Q337" s="38"/>
      <c r="R337" s="38"/>
      <c r="S337" s="38"/>
      <c r="T337" s="38"/>
      <c r="U337" s="37">
        <f t="shared" si="95"/>
        <v>1</v>
      </c>
      <c r="V337" s="38" t="s">
        <v>737</v>
      </c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43"/>
      <c r="AH337" s="44"/>
      <c r="AI337" s="45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8"/>
      <c r="CE337" s="38"/>
      <c r="CF337" s="38"/>
      <c r="CG337" s="38"/>
      <c r="CH337" s="38"/>
    </row>
    <row r="338" spans="1:86">
      <c r="A338" s="33">
        <v>45797</v>
      </c>
      <c r="B338" s="1" t="s">
        <v>481</v>
      </c>
      <c r="C338" s="1" t="s">
        <v>481</v>
      </c>
      <c r="D338" s="1"/>
      <c r="E338" s="38" t="s">
        <v>41</v>
      </c>
      <c r="F338" s="38">
        <v>90</v>
      </c>
      <c r="G338" s="38" t="s">
        <v>402</v>
      </c>
      <c r="H338" s="38">
        <v>75</v>
      </c>
      <c r="I338" s="38">
        <v>858</v>
      </c>
      <c r="J338" s="11">
        <f t="shared" si="91"/>
        <v>858</v>
      </c>
      <c r="K338" s="5">
        <f t="shared" ref="K338:K344" si="96">+J338/(F338*H338*10^-5)</f>
        <v>12711.111111111109</v>
      </c>
      <c r="L338" s="39">
        <v>1</v>
      </c>
      <c r="M338" s="37">
        <f t="shared" si="94"/>
        <v>1</v>
      </c>
      <c r="N338" s="38"/>
      <c r="O338" s="46"/>
      <c r="P338" s="42">
        <f t="shared" si="93"/>
        <v>858</v>
      </c>
      <c r="Q338" s="38"/>
      <c r="R338" s="38"/>
      <c r="S338" s="38"/>
      <c r="T338" s="38"/>
      <c r="U338" s="37">
        <f t="shared" si="95"/>
        <v>1</v>
      </c>
      <c r="V338" s="38" t="s">
        <v>738</v>
      </c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43"/>
      <c r="AH338" s="44"/>
      <c r="AI338" s="45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  <c r="CH338" s="38"/>
    </row>
    <row r="339" spans="1:86">
      <c r="A339" s="33">
        <v>45797</v>
      </c>
      <c r="B339" s="1" t="s">
        <v>481</v>
      </c>
      <c r="C339" s="1" t="s">
        <v>481</v>
      </c>
      <c r="D339" s="1"/>
      <c r="E339" s="38" t="s">
        <v>41</v>
      </c>
      <c r="F339" s="38">
        <v>90</v>
      </c>
      <c r="G339" s="38" t="s">
        <v>402</v>
      </c>
      <c r="H339" s="38">
        <v>75</v>
      </c>
      <c r="I339" s="38">
        <v>868</v>
      </c>
      <c r="J339" s="11">
        <f t="shared" si="91"/>
        <v>868</v>
      </c>
      <c r="K339" s="5">
        <f t="shared" si="96"/>
        <v>12859.259259259259</v>
      </c>
      <c r="L339" s="39">
        <v>1</v>
      </c>
      <c r="M339" s="37">
        <f t="shared" si="94"/>
        <v>1</v>
      </c>
      <c r="N339" s="38"/>
      <c r="O339" s="46"/>
      <c r="P339" s="42">
        <f t="shared" si="93"/>
        <v>868</v>
      </c>
      <c r="Q339" s="38"/>
      <c r="R339" s="38"/>
      <c r="S339" s="38"/>
      <c r="T339" s="38"/>
      <c r="U339" s="37">
        <f t="shared" si="95"/>
        <v>1</v>
      </c>
      <c r="V339" s="38" t="s">
        <v>738</v>
      </c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43"/>
      <c r="AH339" s="44"/>
      <c r="AI339" s="45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  <c r="BS339" s="38"/>
      <c r="BT339" s="38"/>
      <c r="BU339" s="38"/>
      <c r="BV339" s="38"/>
      <c r="BW339" s="38"/>
      <c r="BX339" s="38"/>
      <c r="BY339" s="38"/>
      <c r="BZ339" s="38"/>
      <c r="CA339" s="38"/>
      <c r="CB339" s="38"/>
      <c r="CC339" s="38"/>
      <c r="CD339" s="38"/>
      <c r="CE339" s="38"/>
      <c r="CF339" s="38"/>
      <c r="CG339" s="38"/>
      <c r="CH339" s="38"/>
    </row>
    <row r="340" spans="1:86">
      <c r="A340" s="33">
        <v>45797</v>
      </c>
      <c r="B340" s="1" t="s">
        <v>481</v>
      </c>
      <c r="C340" s="1" t="s">
        <v>481</v>
      </c>
      <c r="D340" s="1"/>
      <c r="E340" s="38" t="s">
        <v>41</v>
      </c>
      <c r="F340" s="38">
        <v>90</v>
      </c>
      <c r="G340" s="38" t="s">
        <v>402</v>
      </c>
      <c r="H340" s="38">
        <v>75</v>
      </c>
      <c r="I340" s="38">
        <v>856</v>
      </c>
      <c r="J340" s="11">
        <f t="shared" si="91"/>
        <v>856</v>
      </c>
      <c r="K340" s="5">
        <f t="shared" si="96"/>
        <v>12681.48148148148</v>
      </c>
      <c r="L340" s="39">
        <v>1</v>
      </c>
      <c r="M340" s="37">
        <f t="shared" si="94"/>
        <v>1</v>
      </c>
      <c r="N340" s="38"/>
      <c r="O340" s="46"/>
      <c r="P340" s="42">
        <f t="shared" si="93"/>
        <v>856</v>
      </c>
      <c r="Q340" s="38"/>
      <c r="R340" s="38"/>
      <c r="S340" s="38"/>
      <c r="T340" s="38"/>
      <c r="U340" s="37">
        <f t="shared" si="95"/>
        <v>1</v>
      </c>
      <c r="V340" s="38" t="s">
        <v>738</v>
      </c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43"/>
      <c r="AH340" s="44"/>
      <c r="AI340" s="45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  <c r="BS340" s="38"/>
      <c r="BT340" s="38"/>
      <c r="BU340" s="38"/>
      <c r="BV340" s="38"/>
      <c r="BW340" s="38"/>
      <c r="BX340" s="38"/>
      <c r="BY340" s="38"/>
      <c r="BZ340" s="38"/>
      <c r="CA340" s="38"/>
      <c r="CB340" s="38"/>
      <c r="CC340" s="38"/>
      <c r="CD340" s="38"/>
      <c r="CE340" s="38"/>
      <c r="CF340" s="38"/>
      <c r="CG340" s="38"/>
      <c r="CH340" s="38"/>
    </row>
    <row r="341" spans="1:86">
      <c r="A341" s="33">
        <v>45797</v>
      </c>
      <c r="B341" s="1" t="s">
        <v>401</v>
      </c>
      <c r="C341" s="1" t="s">
        <v>401</v>
      </c>
      <c r="D341" s="1"/>
      <c r="E341" s="38" t="s">
        <v>50</v>
      </c>
      <c r="F341" s="38">
        <v>100</v>
      </c>
      <c r="G341" s="38" t="s">
        <v>402</v>
      </c>
      <c r="H341" s="38">
        <v>90</v>
      </c>
      <c r="I341" s="38">
        <v>1026</v>
      </c>
      <c r="J341" s="11">
        <f t="shared" si="91"/>
        <v>1026</v>
      </c>
      <c r="K341" s="5">
        <f t="shared" si="96"/>
        <v>11399.999999999998</v>
      </c>
      <c r="L341" s="39">
        <v>1</v>
      </c>
      <c r="M341" s="37">
        <f t="shared" si="94"/>
        <v>1</v>
      </c>
      <c r="N341" s="38"/>
      <c r="O341" s="46"/>
      <c r="P341" s="42">
        <f t="shared" si="93"/>
        <v>1026</v>
      </c>
      <c r="Q341" s="38"/>
      <c r="R341" s="38"/>
      <c r="S341" s="38"/>
      <c r="T341" s="38"/>
      <c r="U341" s="37">
        <f t="shared" si="95"/>
        <v>1</v>
      </c>
      <c r="V341" s="38" t="s">
        <v>738</v>
      </c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43"/>
      <c r="AH341" s="44"/>
      <c r="AI341" s="45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  <c r="BS341" s="38"/>
      <c r="BT341" s="38"/>
      <c r="BU341" s="38"/>
      <c r="BV341" s="38"/>
      <c r="BW341" s="38"/>
      <c r="BX341" s="38"/>
      <c r="BY341" s="38"/>
      <c r="BZ341" s="38"/>
      <c r="CA341" s="38"/>
      <c r="CB341" s="38"/>
      <c r="CC341" s="38"/>
      <c r="CD341" s="38"/>
      <c r="CE341" s="38"/>
      <c r="CF341" s="38"/>
      <c r="CG341" s="38"/>
      <c r="CH341" s="38"/>
    </row>
    <row r="342" spans="1:86">
      <c r="A342" s="33">
        <v>45797</v>
      </c>
      <c r="B342" s="1" t="s">
        <v>401</v>
      </c>
      <c r="C342" s="1" t="s">
        <v>401</v>
      </c>
      <c r="D342" s="1"/>
      <c r="E342" s="38" t="s">
        <v>50</v>
      </c>
      <c r="F342" s="38">
        <v>100</v>
      </c>
      <c r="G342" s="38" t="s">
        <v>402</v>
      </c>
      <c r="H342" s="38">
        <v>90</v>
      </c>
      <c r="I342" s="38">
        <v>1000</v>
      </c>
      <c r="J342" s="11">
        <f t="shared" si="91"/>
        <v>1000</v>
      </c>
      <c r="K342" s="5">
        <f t="shared" si="96"/>
        <v>11111.111111111109</v>
      </c>
      <c r="L342" s="39">
        <v>1</v>
      </c>
      <c r="M342" s="37">
        <f t="shared" si="94"/>
        <v>1</v>
      </c>
      <c r="N342" s="38"/>
      <c r="O342" s="46"/>
      <c r="P342" s="42">
        <f t="shared" si="93"/>
        <v>1000</v>
      </c>
      <c r="Q342" s="38"/>
      <c r="R342" s="38"/>
      <c r="S342" s="38"/>
      <c r="T342" s="38"/>
      <c r="U342" s="37">
        <f t="shared" si="95"/>
        <v>1</v>
      </c>
      <c r="V342" s="38" t="s">
        <v>738</v>
      </c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43"/>
      <c r="AH342" s="44"/>
      <c r="AI342" s="45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  <c r="BS342" s="38"/>
      <c r="BT342" s="38"/>
      <c r="BU342" s="38"/>
      <c r="BV342" s="38"/>
      <c r="BW342" s="38"/>
      <c r="BX342" s="38"/>
      <c r="BY342" s="38"/>
      <c r="BZ342" s="38"/>
      <c r="CA342" s="38"/>
      <c r="CB342" s="38"/>
      <c r="CC342" s="38"/>
      <c r="CD342" s="38"/>
      <c r="CE342" s="38"/>
      <c r="CF342" s="38"/>
      <c r="CG342" s="38"/>
      <c r="CH342" s="38"/>
    </row>
    <row r="343" spans="1:86">
      <c r="A343" s="33">
        <v>45797</v>
      </c>
      <c r="B343" s="1" t="s">
        <v>401</v>
      </c>
      <c r="C343" s="1" t="s">
        <v>401</v>
      </c>
      <c r="D343" s="1"/>
      <c r="E343" s="38" t="s">
        <v>50</v>
      </c>
      <c r="F343" s="38">
        <v>100</v>
      </c>
      <c r="G343" s="38" t="s">
        <v>402</v>
      </c>
      <c r="H343" s="38">
        <v>90</v>
      </c>
      <c r="I343" s="38">
        <v>1043</v>
      </c>
      <c r="J343" s="11">
        <f t="shared" si="91"/>
        <v>1043</v>
      </c>
      <c r="K343" s="5">
        <f t="shared" si="96"/>
        <v>11588.888888888887</v>
      </c>
      <c r="L343" s="39">
        <v>1</v>
      </c>
      <c r="M343" s="37">
        <f t="shared" si="94"/>
        <v>1</v>
      </c>
      <c r="N343" s="38"/>
      <c r="O343" s="46"/>
      <c r="P343" s="42">
        <f t="shared" si="93"/>
        <v>1043</v>
      </c>
      <c r="Q343" s="38"/>
      <c r="R343" s="38"/>
      <c r="S343" s="38"/>
      <c r="T343" s="38"/>
      <c r="U343" s="37">
        <f t="shared" si="95"/>
        <v>1</v>
      </c>
      <c r="V343" s="38" t="s">
        <v>738</v>
      </c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43"/>
      <c r="AH343" s="44"/>
      <c r="AI343" s="45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8"/>
      <c r="CE343" s="38"/>
      <c r="CF343" s="38"/>
      <c r="CG343" s="38"/>
      <c r="CH343" s="38"/>
    </row>
    <row r="344" spans="1:86">
      <c r="A344" s="33">
        <v>45797</v>
      </c>
      <c r="B344" s="1" t="s">
        <v>401</v>
      </c>
      <c r="C344" s="1" t="s">
        <v>401</v>
      </c>
      <c r="D344" s="1"/>
      <c r="E344" s="38" t="s">
        <v>50</v>
      </c>
      <c r="F344" s="38">
        <v>100</v>
      </c>
      <c r="G344" s="38" t="s">
        <v>402</v>
      </c>
      <c r="H344" s="38">
        <v>90</v>
      </c>
      <c r="I344" s="38">
        <v>995</v>
      </c>
      <c r="J344" s="11">
        <f t="shared" si="91"/>
        <v>995</v>
      </c>
      <c r="K344" s="5">
        <f t="shared" si="96"/>
        <v>11055.555555555555</v>
      </c>
      <c r="L344" s="39">
        <v>1</v>
      </c>
      <c r="M344" s="37">
        <f t="shared" si="94"/>
        <v>1</v>
      </c>
      <c r="N344" s="38"/>
      <c r="O344" s="46"/>
      <c r="P344" s="42">
        <f t="shared" si="93"/>
        <v>995</v>
      </c>
      <c r="Q344" s="38"/>
      <c r="R344" s="38"/>
      <c r="S344" s="38"/>
      <c r="T344" s="38"/>
      <c r="U344" s="37">
        <f t="shared" si="95"/>
        <v>1</v>
      </c>
      <c r="V344" s="38" t="s">
        <v>738</v>
      </c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43"/>
      <c r="AH344" s="44"/>
      <c r="AI344" s="45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  <c r="BS344" s="38"/>
      <c r="BT344" s="38"/>
      <c r="BU344" s="38"/>
      <c r="BV344" s="38"/>
      <c r="BW344" s="38"/>
      <c r="BX344" s="38"/>
      <c r="BY344" s="38"/>
      <c r="BZ344" s="38"/>
      <c r="CA344" s="38"/>
      <c r="CB344" s="38"/>
      <c r="CC344" s="38"/>
      <c r="CD344" s="38"/>
      <c r="CE344" s="38"/>
      <c r="CF344" s="38"/>
      <c r="CG344" s="38"/>
      <c r="CH344" s="38"/>
    </row>
    <row r="345" spans="1:86">
      <c r="A345" s="33">
        <v>45797</v>
      </c>
      <c r="B345" s="1" t="s">
        <v>479</v>
      </c>
      <c r="C345" s="1" t="s">
        <v>479</v>
      </c>
      <c r="D345" s="1"/>
      <c r="E345" s="38" t="s">
        <v>41</v>
      </c>
      <c r="F345" s="38">
        <v>100</v>
      </c>
      <c r="G345" s="38" t="s">
        <v>402</v>
      </c>
      <c r="H345" s="38">
        <v>75</v>
      </c>
      <c r="I345" s="38">
        <v>890</v>
      </c>
      <c r="J345" s="11">
        <f t="shared" ref="J345:J391" si="97">IFERROR(IF(AND(V345=3,U345&gt;0),I345,I345*U345),"Verify")</f>
        <v>890</v>
      </c>
      <c r="K345" s="5">
        <f t="shared" ref="K345:K371" si="98">+J345/(F345*H345*10^-5)</f>
        <v>11866.666666666664</v>
      </c>
      <c r="L345" s="39">
        <v>1</v>
      </c>
      <c r="M345" s="37">
        <f t="shared" si="94"/>
        <v>1</v>
      </c>
      <c r="N345" s="38"/>
      <c r="O345" s="46"/>
      <c r="P345" s="42">
        <f t="shared" si="93"/>
        <v>890</v>
      </c>
      <c r="Q345" s="38"/>
      <c r="R345" s="38"/>
      <c r="S345" s="38"/>
      <c r="T345" s="38"/>
      <c r="U345" s="37">
        <f t="shared" si="95"/>
        <v>1</v>
      </c>
      <c r="V345" s="38" t="s">
        <v>739</v>
      </c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43"/>
      <c r="AH345" s="44"/>
      <c r="AI345" s="45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  <c r="BS345" s="38"/>
      <c r="BT345" s="38"/>
      <c r="BU345" s="38"/>
      <c r="BV345" s="38"/>
      <c r="BW345" s="38"/>
      <c r="BX345" s="38"/>
      <c r="BY345" s="38"/>
      <c r="BZ345" s="38"/>
      <c r="CA345" s="38"/>
      <c r="CB345" s="38"/>
      <c r="CC345" s="38"/>
      <c r="CD345" s="38"/>
      <c r="CE345" s="38"/>
      <c r="CF345" s="38"/>
      <c r="CG345" s="38"/>
      <c r="CH345" s="38"/>
    </row>
    <row r="346" spans="1:86">
      <c r="A346" s="33">
        <v>45797</v>
      </c>
      <c r="B346" s="1" t="s">
        <v>479</v>
      </c>
      <c r="C346" s="1" t="s">
        <v>479</v>
      </c>
      <c r="D346" s="1"/>
      <c r="E346" s="38" t="s">
        <v>41</v>
      </c>
      <c r="F346" s="38">
        <v>100</v>
      </c>
      <c r="G346" s="38" t="s">
        <v>402</v>
      </c>
      <c r="H346" s="38">
        <v>75</v>
      </c>
      <c r="I346" s="38">
        <v>898</v>
      </c>
      <c r="J346" s="11">
        <f t="shared" si="97"/>
        <v>898</v>
      </c>
      <c r="K346" s="5">
        <f t="shared" si="98"/>
        <v>11973.333333333332</v>
      </c>
      <c r="L346" s="39">
        <v>1</v>
      </c>
      <c r="M346" s="37">
        <f t="shared" si="94"/>
        <v>1</v>
      </c>
      <c r="N346" s="38"/>
      <c r="O346" s="46"/>
      <c r="P346" s="42">
        <f t="shared" si="93"/>
        <v>898</v>
      </c>
      <c r="Q346" s="38"/>
      <c r="R346" s="38"/>
      <c r="S346" s="38"/>
      <c r="T346" s="38"/>
      <c r="U346" s="37">
        <f t="shared" si="95"/>
        <v>1</v>
      </c>
      <c r="V346" s="38" t="s">
        <v>739</v>
      </c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43"/>
      <c r="AH346" s="44"/>
      <c r="AI346" s="45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8"/>
      <c r="CA346" s="38"/>
      <c r="CB346" s="38"/>
      <c r="CC346" s="38"/>
      <c r="CD346" s="38"/>
      <c r="CE346" s="38"/>
      <c r="CF346" s="38"/>
      <c r="CG346" s="38"/>
      <c r="CH346" s="38"/>
    </row>
    <row r="347" spans="1:86">
      <c r="A347" s="33">
        <v>45797</v>
      </c>
      <c r="B347" s="1" t="s">
        <v>479</v>
      </c>
      <c r="C347" s="1" t="s">
        <v>479</v>
      </c>
      <c r="D347" s="1"/>
      <c r="E347" s="38" t="s">
        <v>41</v>
      </c>
      <c r="F347" s="38">
        <v>100</v>
      </c>
      <c r="G347" s="38" t="s">
        <v>402</v>
      </c>
      <c r="H347" s="38">
        <v>75</v>
      </c>
      <c r="I347" s="38">
        <v>866</v>
      </c>
      <c r="J347" s="11">
        <f t="shared" si="97"/>
        <v>866</v>
      </c>
      <c r="K347" s="5">
        <f t="shared" si="98"/>
        <v>11546.666666666664</v>
      </c>
      <c r="L347" s="39">
        <v>1</v>
      </c>
      <c r="M347" s="37">
        <f t="shared" si="94"/>
        <v>1</v>
      </c>
      <c r="N347" s="38"/>
      <c r="O347" s="46"/>
      <c r="P347" s="42">
        <f t="shared" si="93"/>
        <v>866</v>
      </c>
      <c r="Q347" s="38"/>
      <c r="R347" s="38"/>
      <c r="S347" s="38"/>
      <c r="T347" s="38"/>
      <c r="U347" s="37">
        <f t="shared" si="95"/>
        <v>1</v>
      </c>
      <c r="V347" s="38" t="s">
        <v>739</v>
      </c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43"/>
      <c r="AH347" s="44"/>
      <c r="AI347" s="45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38"/>
      <c r="CC347" s="38"/>
      <c r="CD347" s="38"/>
      <c r="CE347" s="38"/>
      <c r="CF347" s="38"/>
      <c r="CG347" s="38"/>
      <c r="CH347" s="38"/>
    </row>
    <row r="348" spans="1:86">
      <c r="A348" s="33">
        <v>45797</v>
      </c>
      <c r="B348" s="1" t="s">
        <v>479</v>
      </c>
      <c r="C348" s="1" t="s">
        <v>479</v>
      </c>
      <c r="D348" s="1"/>
      <c r="E348" s="38" t="s">
        <v>41</v>
      </c>
      <c r="F348" s="38">
        <v>100</v>
      </c>
      <c r="G348" s="38" t="s">
        <v>402</v>
      </c>
      <c r="H348" s="38">
        <v>75</v>
      </c>
      <c r="I348" s="38">
        <v>894</v>
      </c>
      <c r="J348" s="11">
        <f t="shared" si="97"/>
        <v>894</v>
      </c>
      <c r="K348" s="5">
        <f t="shared" si="98"/>
        <v>11919.999999999998</v>
      </c>
      <c r="L348" s="39">
        <v>1</v>
      </c>
      <c r="M348" s="37">
        <f t="shared" si="94"/>
        <v>1</v>
      </c>
      <c r="N348" s="38"/>
      <c r="O348" s="46"/>
      <c r="P348" s="42">
        <f t="shared" si="93"/>
        <v>894</v>
      </c>
      <c r="Q348" s="38"/>
      <c r="R348" s="38"/>
      <c r="S348" s="38"/>
      <c r="T348" s="38"/>
      <c r="U348" s="37">
        <f t="shared" si="95"/>
        <v>1</v>
      </c>
      <c r="V348" s="38" t="s">
        <v>739</v>
      </c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43"/>
      <c r="AH348" s="44"/>
      <c r="AI348" s="45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8"/>
      <c r="CE348" s="38"/>
      <c r="CF348" s="38"/>
      <c r="CG348" s="38"/>
      <c r="CH348" s="38"/>
    </row>
    <row r="349" spans="1:86">
      <c r="A349" s="33">
        <v>45797</v>
      </c>
      <c r="B349" s="1" t="s">
        <v>479</v>
      </c>
      <c r="C349" s="1" t="s">
        <v>479</v>
      </c>
      <c r="D349" s="1"/>
      <c r="E349" s="38" t="s">
        <v>41</v>
      </c>
      <c r="F349" s="38">
        <v>100</v>
      </c>
      <c r="G349" s="38" t="s">
        <v>402</v>
      </c>
      <c r="H349" s="38">
        <v>75</v>
      </c>
      <c r="I349" s="38">
        <v>902</v>
      </c>
      <c r="J349" s="11">
        <f t="shared" si="97"/>
        <v>902</v>
      </c>
      <c r="K349" s="5">
        <f t="shared" si="98"/>
        <v>12026.666666666664</v>
      </c>
      <c r="L349" s="39">
        <v>1</v>
      </c>
      <c r="M349" s="37">
        <f t="shared" si="94"/>
        <v>1</v>
      </c>
      <c r="N349" s="38"/>
      <c r="O349" s="46"/>
      <c r="P349" s="42">
        <f t="shared" si="93"/>
        <v>902</v>
      </c>
      <c r="Q349" s="38"/>
      <c r="R349" s="38"/>
      <c r="S349" s="38"/>
      <c r="T349" s="38"/>
      <c r="U349" s="37">
        <f t="shared" si="95"/>
        <v>1</v>
      </c>
      <c r="V349" s="38" t="s">
        <v>739</v>
      </c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43"/>
      <c r="AH349" s="44"/>
      <c r="AI349" s="45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  <c r="CH349" s="38"/>
    </row>
    <row r="350" spans="1:86">
      <c r="A350" s="33">
        <v>45797</v>
      </c>
      <c r="B350" s="1" t="s">
        <v>479</v>
      </c>
      <c r="C350" s="1" t="s">
        <v>479</v>
      </c>
      <c r="D350" s="1"/>
      <c r="E350" s="38" t="s">
        <v>41</v>
      </c>
      <c r="F350" s="38">
        <v>100</v>
      </c>
      <c r="G350" s="38" t="s">
        <v>402</v>
      </c>
      <c r="H350" s="38">
        <v>75</v>
      </c>
      <c r="I350" s="38">
        <v>896</v>
      </c>
      <c r="J350" s="11">
        <f t="shared" si="97"/>
        <v>896</v>
      </c>
      <c r="K350" s="5">
        <f t="shared" si="98"/>
        <v>11946.666666666664</v>
      </c>
      <c r="L350" s="39">
        <v>1</v>
      </c>
      <c r="M350" s="37">
        <f t="shared" si="94"/>
        <v>1</v>
      </c>
      <c r="N350" s="38"/>
      <c r="O350" s="46"/>
      <c r="P350" s="42">
        <f t="shared" si="93"/>
        <v>896</v>
      </c>
      <c r="Q350" s="38"/>
      <c r="R350" s="38"/>
      <c r="S350" s="38"/>
      <c r="T350" s="38"/>
      <c r="U350" s="37">
        <f t="shared" si="95"/>
        <v>1</v>
      </c>
      <c r="V350" s="38" t="s">
        <v>739</v>
      </c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43"/>
      <c r="AH350" s="44"/>
      <c r="AI350" s="45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8"/>
      <c r="CE350" s="38"/>
      <c r="CF350" s="38"/>
      <c r="CG350" s="38"/>
      <c r="CH350" s="38"/>
    </row>
    <row r="351" spans="1:86">
      <c r="A351" s="33">
        <v>45797</v>
      </c>
      <c r="B351" s="1" t="s">
        <v>479</v>
      </c>
      <c r="C351" s="1" t="s">
        <v>479</v>
      </c>
      <c r="D351" s="1"/>
      <c r="E351" s="38" t="s">
        <v>41</v>
      </c>
      <c r="F351" s="38">
        <v>100</v>
      </c>
      <c r="G351" s="38" t="s">
        <v>402</v>
      </c>
      <c r="H351" s="38">
        <v>75</v>
      </c>
      <c r="I351" s="38">
        <v>894</v>
      </c>
      <c r="J351" s="11">
        <f t="shared" si="97"/>
        <v>894</v>
      </c>
      <c r="K351" s="5">
        <f t="shared" si="98"/>
        <v>11919.999999999998</v>
      </c>
      <c r="L351" s="39">
        <v>1</v>
      </c>
      <c r="M351" s="37">
        <f t="shared" si="94"/>
        <v>1</v>
      </c>
      <c r="N351" s="38"/>
      <c r="O351" s="46"/>
      <c r="P351" s="42">
        <f t="shared" si="93"/>
        <v>894</v>
      </c>
      <c r="Q351" s="38"/>
      <c r="R351" s="38"/>
      <c r="S351" s="38"/>
      <c r="T351" s="38"/>
      <c r="U351" s="37">
        <f t="shared" si="95"/>
        <v>1</v>
      </c>
      <c r="V351" s="38" t="s">
        <v>739</v>
      </c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43"/>
      <c r="AH351" s="44"/>
      <c r="AI351" s="45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38"/>
      <c r="CE351" s="38"/>
      <c r="CF351" s="38"/>
      <c r="CG351" s="38"/>
      <c r="CH351" s="38"/>
    </row>
    <row r="352" spans="1:86">
      <c r="A352" s="33">
        <v>45797</v>
      </c>
      <c r="B352" s="1" t="s">
        <v>479</v>
      </c>
      <c r="C352" s="1" t="s">
        <v>479</v>
      </c>
      <c r="D352" s="1"/>
      <c r="E352" s="38" t="s">
        <v>41</v>
      </c>
      <c r="F352" s="38">
        <v>100</v>
      </c>
      <c r="G352" s="38" t="s">
        <v>402</v>
      </c>
      <c r="H352" s="38">
        <v>75</v>
      </c>
      <c r="I352" s="38">
        <v>908</v>
      </c>
      <c r="J352" s="11">
        <f t="shared" si="97"/>
        <v>908</v>
      </c>
      <c r="K352" s="5">
        <f t="shared" si="98"/>
        <v>12106.666666666664</v>
      </c>
      <c r="L352" s="39">
        <v>1</v>
      </c>
      <c r="M352" s="37">
        <f t="shared" si="94"/>
        <v>1</v>
      </c>
      <c r="N352" s="38"/>
      <c r="O352" s="46"/>
      <c r="P352" s="42">
        <f t="shared" si="93"/>
        <v>908</v>
      </c>
      <c r="Q352" s="38"/>
      <c r="R352" s="38"/>
      <c r="S352" s="38"/>
      <c r="T352" s="38"/>
      <c r="U352" s="37">
        <f t="shared" si="95"/>
        <v>1</v>
      </c>
      <c r="V352" s="38" t="s">
        <v>739</v>
      </c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43"/>
      <c r="AH352" s="44"/>
      <c r="AI352" s="45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38"/>
      <c r="CC352" s="38"/>
      <c r="CD352" s="38"/>
      <c r="CE352" s="38"/>
      <c r="CF352" s="38"/>
      <c r="CG352" s="38"/>
      <c r="CH352" s="38"/>
    </row>
    <row r="353" spans="1:86">
      <c r="A353" s="33">
        <v>45797</v>
      </c>
      <c r="B353" s="1" t="s">
        <v>479</v>
      </c>
      <c r="C353" s="1" t="s">
        <v>479</v>
      </c>
      <c r="D353" s="1"/>
      <c r="E353" s="38" t="s">
        <v>41</v>
      </c>
      <c r="F353" s="38">
        <v>100</v>
      </c>
      <c r="G353" s="38" t="s">
        <v>402</v>
      </c>
      <c r="H353" s="38">
        <v>75</v>
      </c>
      <c r="I353" s="38">
        <v>902</v>
      </c>
      <c r="J353" s="11">
        <f t="shared" si="97"/>
        <v>902</v>
      </c>
      <c r="K353" s="5">
        <f t="shared" si="98"/>
        <v>12026.666666666664</v>
      </c>
      <c r="L353" s="39">
        <v>1</v>
      </c>
      <c r="M353" s="37">
        <f t="shared" si="94"/>
        <v>1</v>
      </c>
      <c r="N353" s="38"/>
      <c r="O353" s="46"/>
      <c r="P353" s="42">
        <f t="shared" si="93"/>
        <v>902</v>
      </c>
      <c r="Q353" s="38"/>
      <c r="R353" s="38"/>
      <c r="S353" s="38"/>
      <c r="T353" s="38"/>
      <c r="U353" s="37">
        <f t="shared" si="95"/>
        <v>1</v>
      </c>
      <c r="V353" s="38" t="s">
        <v>739</v>
      </c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43"/>
      <c r="AH353" s="44"/>
      <c r="AI353" s="45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  <c r="CH353" s="38"/>
    </row>
    <row r="354" spans="1:86">
      <c r="A354" s="33">
        <v>45797</v>
      </c>
      <c r="B354" s="1" t="s">
        <v>479</v>
      </c>
      <c r="C354" s="1" t="s">
        <v>479</v>
      </c>
      <c r="D354" s="1"/>
      <c r="E354" s="38" t="s">
        <v>41</v>
      </c>
      <c r="F354" s="38">
        <v>100</v>
      </c>
      <c r="G354" s="38" t="s">
        <v>402</v>
      </c>
      <c r="H354" s="38">
        <v>75</v>
      </c>
      <c r="I354" s="38">
        <v>900</v>
      </c>
      <c r="J354" s="11">
        <f t="shared" si="97"/>
        <v>900</v>
      </c>
      <c r="K354" s="5">
        <f t="shared" si="98"/>
        <v>11999.999999999998</v>
      </c>
      <c r="L354" s="39">
        <v>1</v>
      </c>
      <c r="M354" s="37">
        <f t="shared" si="94"/>
        <v>1</v>
      </c>
      <c r="N354" s="38"/>
      <c r="O354" s="46"/>
      <c r="P354" s="42">
        <f t="shared" si="93"/>
        <v>900</v>
      </c>
      <c r="Q354" s="38"/>
      <c r="R354" s="38"/>
      <c r="S354" s="38"/>
      <c r="T354" s="38"/>
      <c r="U354" s="37">
        <f t="shared" si="95"/>
        <v>1</v>
      </c>
      <c r="V354" s="38" t="s">
        <v>739</v>
      </c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43"/>
      <c r="AH354" s="44"/>
      <c r="AI354" s="45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38"/>
      <c r="CC354" s="38"/>
      <c r="CD354" s="38"/>
      <c r="CE354" s="38"/>
      <c r="CF354" s="38"/>
      <c r="CG354" s="38"/>
      <c r="CH354" s="38"/>
    </row>
    <row r="355" spans="1:86">
      <c r="A355" s="33">
        <v>45797</v>
      </c>
      <c r="B355" s="1" t="s">
        <v>479</v>
      </c>
      <c r="C355" s="1" t="s">
        <v>479</v>
      </c>
      <c r="D355" s="1"/>
      <c r="E355" s="38" t="s">
        <v>41</v>
      </c>
      <c r="F355" s="38">
        <v>100</v>
      </c>
      <c r="G355" s="38" t="s">
        <v>402</v>
      </c>
      <c r="H355" s="38">
        <v>75</v>
      </c>
      <c r="I355" s="38">
        <v>904</v>
      </c>
      <c r="J355" s="11">
        <f t="shared" si="97"/>
        <v>904</v>
      </c>
      <c r="K355" s="5">
        <f t="shared" si="98"/>
        <v>12053.333333333332</v>
      </c>
      <c r="L355" s="39">
        <v>1</v>
      </c>
      <c r="M355" s="37">
        <f t="shared" si="94"/>
        <v>1</v>
      </c>
      <c r="N355" s="38"/>
      <c r="O355" s="46"/>
      <c r="P355" s="42">
        <f t="shared" si="93"/>
        <v>904</v>
      </c>
      <c r="Q355" s="38"/>
      <c r="R355" s="38"/>
      <c r="S355" s="38"/>
      <c r="T355" s="38"/>
      <c r="U355" s="37">
        <f t="shared" si="95"/>
        <v>1</v>
      </c>
      <c r="V355" s="38" t="s">
        <v>739</v>
      </c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43"/>
      <c r="AH355" s="44"/>
      <c r="AI355" s="45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38"/>
      <c r="CC355" s="38"/>
      <c r="CD355" s="38"/>
      <c r="CE355" s="38"/>
      <c r="CF355" s="38"/>
      <c r="CG355" s="38"/>
      <c r="CH355" s="38"/>
    </row>
    <row r="356" spans="1:86">
      <c r="A356" s="33">
        <v>45797</v>
      </c>
      <c r="B356" s="1" t="s">
        <v>479</v>
      </c>
      <c r="C356" s="1" t="s">
        <v>479</v>
      </c>
      <c r="D356" s="1"/>
      <c r="E356" s="38" t="s">
        <v>41</v>
      </c>
      <c r="F356" s="38">
        <v>100</v>
      </c>
      <c r="G356" s="38" t="s">
        <v>402</v>
      </c>
      <c r="H356" s="38">
        <v>75</v>
      </c>
      <c r="I356" s="38">
        <v>904</v>
      </c>
      <c r="J356" s="11">
        <f t="shared" si="97"/>
        <v>904</v>
      </c>
      <c r="K356" s="5">
        <f t="shared" si="98"/>
        <v>12053.333333333332</v>
      </c>
      <c r="L356" s="39">
        <v>1</v>
      </c>
      <c r="M356" s="37">
        <f t="shared" si="94"/>
        <v>1</v>
      </c>
      <c r="N356" s="38"/>
      <c r="O356" s="46"/>
      <c r="P356" s="42">
        <f t="shared" si="93"/>
        <v>904</v>
      </c>
      <c r="Q356" s="38"/>
      <c r="R356" s="38"/>
      <c r="S356" s="38"/>
      <c r="T356" s="38"/>
      <c r="U356" s="37">
        <f t="shared" si="95"/>
        <v>1</v>
      </c>
      <c r="V356" s="38" t="s">
        <v>739</v>
      </c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43"/>
      <c r="AH356" s="44"/>
      <c r="AI356" s="45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38"/>
      <c r="CC356" s="38"/>
      <c r="CD356" s="38"/>
      <c r="CE356" s="38"/>
      <c r="CF356" s="38"/>
      <c r="CG356" s="38"/>
      <c r="CH356" s="38"/>
    </row>
    <row r="357" spans="1:86">
      <c r="A357" s="33">
        <v>45797</v>
      </c>
      <c r="B357" s="1" t="s">
        <v>479</v>
      </c>
      <c r="C357" s="1" t="s">
        <v>479</v>
      </c>
      <c r="D357" s="1"/>
      <c r="E357" s="38" t="s">
        <v>41</v>
      </c>
      <c r="F357" s="38">
        <v>100</v>
      </c>
      <c r="G357" s="38" t="s">
        <v>402</v>
      </c>
      <c r="H357" s="38">
        <v>75</v>
      </c>
      <c r="I357" s="38">
        <v>906</v>
      </c>
      <c r="J357" s="11">
        <f t="shared" si="97"/>
        <v>906</v>
      </c>
      <c r="K357" s="5">
        <f t="shared" si="98"/>
        <v>12079.999999999998</v>
      </c>
      <c r="L357" s="39">
        <v>1</v>
      </c>
      <c r="M357" s="37">
        <f t="shared" si="94"/>
        <v>1</v>
      </c>
      <c r="N357" s="38"/>
      <c r="O357" s="46"/>
      <c r="P357" s="42">
        <f t="shared" si="93"/>
        <v>906</v>
      </c>
      <c r="Q357" s="38"/>
      <c r="R357" s="38"/>
      <c r="S357" s="38"/>
      <c r="T357" s="38"/>
      <c r="U357" s="37">
        <f t="shared" si="95"/>
        <v>1</v>
      </c>
      <c r="V357" s="38" t="s">
        <v>739</v>
      </c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43"/>
      <c r="AH357" s="44"/>
      <c r="AI357" s="45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38"/>
      <c r="CC357" s="38"/>
      <c r="CD357" s="38"/>
      <c r="CE357" s="38"/>
      <c r="CF357" s="38"/>
      <c r="CG357" s="38"/>
      <c r="CH357" s="38"/>
    </row>
    <row r="358" spans="1:86">
      <c r="A358" s="33">
        <v>45797</v>
      </c>
      <c r="B358" s="1" t="s">
        <v>479</v>
      </c>
      <c r="C358" s="1" t="s">
        <v>479</v>
      </c>
      <c r="D358" s="1"/>
      <c r="E358" s="38" t="s">
        <v>41</v>
      </c>
      <c r="F358" s="38">
        <v>100</v>
      </c>
      <c r="G358" s="38" t="s">
        <v>402</v>
      </c>
      <c r="H358" s="38">
        <v>75</v>
      </c>
      <c r="I358" s="38">
        <v>906</v>
      </c>
      <c r="J358" s="11">
        <f t="shared" si="97"/>
        <v>906</v>
      </c>
      <c r="K358" s="5">
        <f t="shared" si="98"/>
        <v>12079.999999999998</v>
      </c>
      <c r="L358" s="39">
        <v>1</v>
      </c>
      <c r="M358" s="37">
        <f t="shared" si="94"/>
        <v>1</v>
      </c>
      <c r="N358" s="38"/>
      <c r="O358" s="46"/>
      <c r="P358" s="42">
        <f t="shared" si="93"/>
        <v>906</v>
      </c>
      <c r="Q358" s="38"/>
      <c r="R358" s="38"/>
      <c r="S358" s="38"/>
      <c r="T358" s="38"/>
      <c r="U358" s="37">
        <f t="shared" si="95"/>
        <v>1</v>
      </c>
      <c r="V358" s="38" t="s">
        <v>739</v>
      </c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43"/>
      <c r="AH358" s="44"/>
      <c r="AI358" s="45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  <c r="CH358" s="38"/>
    </row>
    <row r="359" spans="1:86">
      <c r="A359" s="33">
        <v>45797</v>
      </c>
      <c r="B359" s="1" t="s">
        <v>479</v>
      </c>
      <c r="C359" s="1" t="s">
        <v>479</v>
      </c>
      <c r="D359" s="1"/>
      <c r="E359" s="38" t="s">
        <v>41</v>
      </c>
      <c r="F359" s="38">
        <v>100</v>
      </c>
      <c r="G359" s="38" t="s">
        <v>402</v>
      </c>
      <c r="H359" s="38">
        <v>75</v>
      </c>
      <c r="I359" s="38">
        <v>916</v>
      </c>
      <c r="J359" s="11">
        <f t="shared" si="97"/>
        <v>916</v>
      </c>
      <c r="K359" s="5">
        <f t="shared" si="98"/>
        <v>12213.333333333332</v>
      </c>
      <c r="L359" s="39">
        <v>1</v>
      </c>
      <c r="M359" s="37">
        <f t="shared" si="94"/>
        <v>1</v>
      </c>
      <c r="N359" s="38"/>
      <c r="O359" s="46"/>
      <c r="P359" s="42">
        <f t="shared" si="93"/>
        <v>916</v>
      </c>
      <c r="Q359" s="38"/>
      <c r="R359" s="38"/>
      <c r="S359" s="38"/>
      <c r="T359" s="38"/>
      <c r="U359" s="37">
        <f t="shared" si="95"/>
        <v>1</v>
      </c>
      <c r="V359" s="38" t="s">
        <v>739</v>
      </c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43"/>
      <c r="AH359" s="44"/>
      <c r="AI359" s="45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38"/>
      <c r="CC359" s="38"/>
      <c r="CD359" s="38"/>
      <c r="CE359" s="38"/>
      <c r="CF359" s="38"/>
      <c r="CG359" s="38"/>
      <c r="CH359" s="38"/>
    </row>
    <row r="360" spans="1:86">
      <c r="A360" s="33">
        <v>45797</v>
      </c>
      <c r="B360" s="1" t="s">
        <v>479</v>
      </c>
      <c r="C360" s="1" t="s">
        <v>479</v>
      </c>
      <c r="D360" s="1"/>
      <c r="E360" s="38" t="s">
        <v>41</v>
      </c>
      <c r="F360" s="38">
        <v>100</v>
      </c>
      <c r="G360" s="38" t="s">
        <v>402</v>
      </c>
      <c r="H360" s="38">
        <v>75</v>
      </c>
      <c r="I360" s="38">
        <v>864</v>
      </c>
      <c r="J360" s="11">
        <f t="shared" si="97"/>
        <v>864</v>
      </c>
      <c r="K360" s="5">
        <f t="shared" si="98"/>
        <v>11519.999999999998</v>
      </c>
      <c r="L360" s="39">
        <v>1</v>
      </c>
      <c r="M360" s="37">
        <f t="shared" si="94"/>
        <v>1</v>
      </c>
      <c r="N360" s="38"/>
      <c r="O360" s="46"/>
      <c r="P360" s="42">
        <f t="shared" si="93"/>
        <v>864</v>
      </c>
      <c r="Q360" s="38"/>
      <c r="R360" s="38"/>
      <c r="S360" s="38"/>
      <c r="T360" s="38"/>
      <c r="U360" s="37">
        <f t="shared" si="95"/>
        <v>1</v>
      </c>
      <c r="V360" s="38" t="s">
        <v>739</v>
      </c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43"/>
      <c r="AH360" s="44"/>
      <c r="AI360" s="45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38"/>
      <c r="CC360" s="38"/>
      <c r="CD360" s="38"/>
      <c r="CE360" s="38"/>
      <c r="CF360" s="38"/>
      <c r="CG360" s="38"/>
      <c r="CH360" s="38"/>
    </row>
    <row r="361" spans="1:86">
      <c r="A361" s="33">
        <v>45797</v>
      </c>
      <c r="B361" s="1" t="s">
        <v>479</v>
      </c>
      <c r="C361" s="1" t="s">
        <v>479</v>
      </c>
      <c r="D361" s="1"/>
      <c r="E361" s="38" t="s">
        <v>41</v>
      </c>
      <c r="F361" s="38">
        <v>100</v>
      </c>
      <c r="G361" s="38" t="s">
        <v>402</v>
      </c>
      <c r="H361" s="38">
        <v>75</v>
      </c>
      <c r="I361" s="38">
        <v>864</v>
      </c>
      <c r="J361" s="11">
        <f t="shared" si="97"/>
        <v>864</v>
      </c>
      <c r="K361" s="5">
        <f t="shared" si="98"/>
        <v>11519.999999999998</v>
      </c>
      <c r="L361" s="39">
        <v>1</v>
      </c>
      <c r="M361" s="37">
        <f t="shared" si="94"/>
        <v>1</v>
      </c>
      <c r="N361" s="38"/>
      <c r="O361" s="46"/>
      <c r="P361" s="42">
        <f t="shared" si="93"/>
        <v>864</v>
      </c>
      <c r="Q361" s="38"/>
      <c r="R361" s="38"/>
      <c r="S361" s="38"/>
      <c r="T361" s="38"/>
      <c r="U361" s="37">
        <f t="shared" si="95"/>
        <v>1</v>
      </c>
      <c r="V361" s="38" t="s">
        <v>739</v>
      </c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43"/>
      <c r="AH361" s="44"/>
      <c r="AI361" s="45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  <c r="CH361" s="38"/>
    </row>
    <row r="362" spans="1:86">
      <c r="A362" s="33">
        <v>45797</v>
      </c>
      <c r="B362" s="1" t="s">
        <v>479</v>
      </c>
      <c r="C362" s="1" t="s">
        <v>479</v>
      </c>
      <c r="D362" s="1"/>
      <c r="E362" s="38" t="s">
        <v>41</v>
      </c>
      <c r="F362" s="38">
        <v>100</v>
      </c>
      <c r="G362" s="38" t="s">
        <v>402</v>
      </c>
      <c r="H362" s="38">
        <v>75</v>
      </c>
      <c r="I362" s="38">
        <v>862</v>
      </c>
      <c r="J362" s="11">
        <f t="shared" si="97"/>
        <v>862</v>
      </c>
      <c r="K362" s="5">
        <f t="shared" si="98"/>
        <v>11493.333333333332</v>
      </c>
      <c r="L362" s="39">
        <v>1</v>
      </c>
      <c r="M362" s="37">
        <f t="shared" si="94"/>
        <v>1</v>
      </c>
      <c r="N362" s="38"/>
      <c r="O362" s="46"/>
      <c r="P362" s="42">
        <f t="shared" si="93"/>
        <v>862</v>
      </c>
      <c r="Q362" s="38"/>
      <c r="R362" s="38"/>
      <c r="S362" s="38"/>
      <c r="T362" s="38"/>
      <c r="U362" s="37">
        <f t="shared" si="95"/>
        <v>1</v>
      </c>
      <c r="V362" s="38" t="s">
        <v>739</v>
      </c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43"/>
      <c r="AH362" s="44"/>
      <c r="AI362" s="45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38"/>
      <c r="CC362" s="38"/>
      <c r="CD362" s="38"/>
      <c r="CE362" s="38"/>
      <c r="CF362" s="38"/>
      <c r="CG362" s="38"/>
      <c r="CH362" s="38"/>
    </row>
    <row r="363" spans="1:86">
      <c r="A363" s="33">
        <v>45797</v>
      </c>
      <c r="B363" s="1" t="s">
        <v>479</v>
      </c>
      <c r="C363" s="1" t="s">
        <v>479</v>
      </c>
      <c r="D363" s="1"/>
      <c r="E363" s="38" t="s">
        <v>41</v>
      </c>
      <c r="F363" s="38">
        <v>100</v>
      </c>
      <c r="G363" s="38" t="s">
        <v>402</v>
      </c>
      <c r="H363" s="38">
        <v>75</v>
      </c>
      <c r="I363" s="38">
        <v>862</v>
      </c>
      <c r="J363" s="11">
        <f t="shared" si="97"/>
        <v>862</v>
      </c>
      <c r="K363" s="5">
        <f t="shared" si="98"/>
        <v>11493.333333333332</v>
      </c>
      <c r="L363" s="39">
        <v>1</v>
      </c>
      <c r="M363" s="37">
        <f t="shared" si="94"/>
        <v>1</v>
      </c>
      <c r="N363" s="38"/>
      <c r="O363" s="46"/>
      <c r="P363" s="42">
        <f t="shared" si="93"/>
        <v>862</v>
      </c>
      <c r="Q363" s="38"/>
      <c r="R363" s="38"/>
      <c r="S363" s="38"/>
      <c r="T363" s="38"/>
      <c r="U363" s="37">
        <f t="shared" si="95"/>
        <v>1</v>
      </c>
      <c r="V363" s="38" t="s">
        <v>739</v>
      </c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43"/>
      <c r="AH363" s="44"/>
      <c r="AI363" s="45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  <c r="CH363" s="38"/>
    </row>
    <row r="364" spans="1:86">
      <c r="A364" s="33">
        <v>45797</v>
      </c>
      <c r="B364" s="1" t="s">
        <v>479</v>
      </c>
      <c r="C364" s="1" t="s">
        <v>479</v>
      </c>
      <c r="D364" s="1"/>
      <c r="E364" s="38" t="s">
        <v>41</v>
      </c>
      <c r="F364" s="38">
        <v>100</v>
      </c>
      <c r="G364" s="38" t="s">
        <v>402</v>
      </c>
      <c r="H364" s="38">
        <v>75</v>
      </c>
      <c r="I364" s="38">
        <v>866</v>
      </c>
      <c r="J364" s="11">
        <f t="shared" si="97"/>
        <v>866</v>
      </c>
      <c r="K364" s="5">
        <f t="shared" si="98"/>
        <v>11546.666666666664</v>
      </c>
      <c r="L364" s="39">
        <v>1</v>
      </c>
      <c r="M364" s="37">
        <f t="shared" si="94"/>
        <v>1</v>
      </c>
      <c r="N364" s="38"/>
      <c r="O364" s="46"/>
      <c r="P364" s="42">
        <f t="shared" si="93"/>
        <v>866</v>
      </c>
      <c r="Q364" s="38"/>
      <c r="R364" s="38"/>
      <c r="S364" s="38"/>
      <c r="T364" s="38"/>
      <c r="U364" s="37">
        <f t="shared" si="95"/>
        <v>1</v>
      </c>
      <c r="V364" s="38" t="s">
        <v>739</v>
      </c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43"/>
      <c r="AH364" s="44"/>
      <c r="AI364" s="45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38"/>
      <c r="CC364" s="38"/>
      <c r="CD364" s="38"/>
      <c r="CE364" s="38"/>
      <c r="CF364" s="38"/>
      <c r="CG364" s="38"/>
      <c r="CH364" s="38"/>
    </row>
    <row r="365" spans="1:86">
      <c r="A365" s="33">
        <v>45797</v>
      </c>
      <c r="B365" s="1" t="s">
        <v>479</v>
      </c>
      <c r="C365" s="1" t="s">
        <v>479</v>
      </c>
      <c r="D365" s="1"/>
      <c r="E365" s="38" t="s">
        <v>41</v>
      </c>
      <c r="F365" s="38">
        <v>100</v>
      </c>
      <c r="G365" s="38" t="s">
        <v>402</v>
      </c>
      <c r="H365" s="38">
        <v>75</v>
      </c>
      <c r="I365" s="38">
        <v>888</v>
      </c>
      <c r="J365" s="11">
        <f t="shared" si="97"/>
        <v>888</v>
      </c>
      <c r="K365" s="5">
        <f t="shared" si="98"/>
        <v>11839.999999999998</v>
      </c>
      <c r="L365" s="39">
        <v>1</v>
      </c>
      <c r="M365" s="37">
        <f t="shared" si="94"/>
        <v>1</v>
      </c>
      <c r="N365" s="38"/>
      <c r="O365" s="46"/>
      <c r="P365" s="42">
        <f t="shared" si="93"/>
        <v>888</v>
      </c>
      <c r="Q365" s="38"/>
      <c r="R365" s="38"/>
      <c r="S365" s="38"/>
      <c r="T365" s="38"/>
      <c r="U365" s="37">
        <f t="shared" si="95"/>
        <v>1</v>
      </c>
      <c r="V365" s="38" t="s">
        <v>739</v>
      </c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43"/>
      <c r="AH365" s="44"/>
      <c r="AI365" s="45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  <c r="CH365" s="38"/>
    </row>
    <row r="366" spans="1:86">
      <c r="A366" s="33">
        <v>45797</v>
      </c>
      <c r="B366" s="1" t="s">
        <v>479</v>
      </c>
      <c r="C366" s="1" t="s">
        <v>479</v>
      </c>
      <c r="D366" s="1"/>
      <c r="E366" s="38" t="s">
        <v>41</v>
      </c>
      <c r="F366" s="38">
        <v>100</v>
      </c>
      <c r="G366" s="38" t="s">
        <v>402</v>
      </c>
      <c r="H366" s="38">
        <v>75</v>
      </c>
      <c r="I366" s="38">
        <v>870</v>
      </c>
      <c r="J366" s="11">
        <f t="shared" si="97"/>
        <v>870</v>
      </c>
      <c r="K366" s="5">
        <f t="shared" si="98"/>
        <v>11599.999999999998</v>
      </c>
      <c r="L366" s="39">
        <v>1</v>
      </c>
      <c r="M366" s="37">
        <f t="shared" si="94"/>
        <v>1</v>
      </c>
      <c r="N366" s="38"/>
      <c r="O366" s="46"/>
      <c r="P366" s="42">
        <f t="shared" si="93"/>
        <v>870</v>
      </c>
      <c r="Q366" s="38"/>
      <c r="R366" s="38"/>
      <c r="S366" s="38"/>
      <c r="T366" s="38"/>
      <c r="U366" s="37">
        <f t="shared" si="95"/>
        <v>1</v>
      </c>
      <c r="V366" s="38" t="s">
        <v>739</v>
      </c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43"/>
      <c r="AH366" s="44"/>
      <c r="AI366" s="45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  <c r="BS366" s="38"/>
      <c r="BT366" s="38"/>
      <c r="BU366" s="38"/>
      <c r="BV366" s="38"/>
      <c r="BW366" s="38"/>
      <c r="BX366" s="38"/>
      <c r="BY366" s="38"/>
      <c r="BZ366" s="38"/>
      <c r="CA366" s="38"/>
      <c r="CB366" s="38"/>
      <c r="CC366" s="38"/>
      <c r="CD366" s="38"/>
      <c r="CE366" s="38"/>
      <c r="CF366" s="38"/>
      <c r="CG366" s="38"/>
      <c r="CH366" s="38"/>
    </row>
    <row r="367" spans="1:86">
      <c r="A367" s="33">
        <v>45797</v>
      </c>
      <c r="B367" s="1" t="s">
        <v>741</v>
      </c>
      <c r="C367" s="1" t="s">
        <v>741</v>
      </c>
      <c r="D367" s="1"/>
      <c r="E367" s="38" t="s">
        <v>742</v>
      </c>
      <c r="F367" s="38">
        <v>90</v>
      </c>
      <c r="G367" s="38" t="s">
        <v>402</v>
      </c>
      <c r="H367" s="38">
        <v>92</v>
      </c>
      <c r="I367" s="38">
        <v>1067</v>
      </c>
      <c r="J367" s="11">
        <f t="shared" si="97"/>
        <v>1067</v>
      </c>
      <c r="K367" s="5">
        <f t="shared" si="98"/>
        <v>12886.473429951689</v>
      </c>
      <c r="L367" s="39">
        <v>1</v>
      </c>
      <c r="M367" s="37">
        <f t="shared" si="94"/>
        <v>1</v>
      </c>
      <c r="N367" s="38"/>
      <c r="O367" s="46"/>
      <c r="P367" s="42">
        <f t="shared" si="93"/>
        <v>1067</v>
      </c>
      <c r="Q367" s="38"/>
      <c r="R367" s="38"/>
      <c r="S367" s="38"/>
      <c r="T367" s="38"/>
      <c r="U367" s="37">
        <f t="shared" si="95"/>
        <v>1</v>
      </c>
      <c r="V367" s="38" t="s">
        <v>740</v>
      </c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43"/>
      <c r="AH367" s="44"/>
      <c r="AI367" s="45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  <c r="BS367" s="38"/>
      <c r="BT367" s="38"/>
      <c r="BU367" s="38"/>
      <c r="BV367" s="38"/>
      <c r="BW367" s="38"/>
      <c r="BX367" s="38"/>
      <c r="BY367" s="38"/>
      <c r="BZ367" s="38"/>
      <c r="CA367" s="38"/>
      <c r="CB367" s="38"/>
      <c r="CC367" s="38"/>
      <c r="CD367" s="38"/>
      <c r="CE367" s="38"/>
      <c r="CF367" s="38"/>
      <c r="CG367" s="38"/>
      <c r="CH367" s="38"/>
    </row>
    <row r="368" spans="1:86">
      <c r="A368" s="33">
        <v>45797</v>
      </c>
      <c r="B368" s="1" t="s">
        <v>741</v>
      </c>
      <c r="C368" s="1" t="s">
        <v>741</v>
      </c>
      <c r="D368" s="1"/>
      <c r="E368" s="38" t="s">
        <v>742</v>
      </c>
      <c r="F368" s="38">
        <v>90</v>
      </c>
      <c r="G368" s="38" t="s">
        <v>402</v>
      </c>
      <c r="H368" s="38">
        <v>92</v>
      </c>
      <c r="I368" s="38">
        <v>1055</v>
      </c>
      <c r="J368" s="11">
        <f t="shared" si="97"/>
        <v>1055</v>
      </c>
      <c r="K368" s="5">
        <f t="shared" si="98"/>
        <v>12741.545893719805</v>
      </c>
      <c r="L368" s="39">
        <v>1</v>
      </c>
      <c r="M368" s="37">
        <f t="shared" si="94"/>
        <v>1</v>
      </c>
      <c r="N368" s="38"/>
      <c r="O368" s="46"/>
      <c r="P368" s="42">
        <f t="shared" si="93"/>
        <v>1055</v>
      </c>
      <c r="Q368" s="38"/>
      <c r="R368" s="38"/>
      <c r="S368" s="38"/>
      <c r="T368" s="38"/>
      <c r="U368" s="37">
        <f t="shared" si="95"/>
        <v>1</v>
      </c>
      <c r="V368" s="38" t="s">
        <v>740</v>
      </c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43"/>
      <c r="AH368" s="44"/>
      <c r="AI368" s="45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  <c r="CH368" s="38"/>
    </row>
    <row r="369" spans="1:86">
      <c r="A369" s="33">
        <v>45797</v>
      </c>
      <c r="B369" s="1" t="s">
        <v>741</v>
      </c>
      <c r="C369" s="1" t="s">
        <v>741</v>
      </c>
      <c r="D369" s="1"/>
      <c r="E369" s="38" t="s">
        <v>742</v>
      </c>
      <c r="F369" s="38">
        <v>90</v>
      </c>
      <c r="G369" s="38" t="s">
        <v>402</v>
      </c>
      <c r="H369" s="38">
        <v>92</v>
      </c>
      <c r="I369" s="38">
        <v>1066</v>
      </c>
      <c r="J369" s="11">
        <f t="shared" si="97"/>
        <v>1066</v>
      </c>
      <c r="K369" s="5">
        <f t="shared" si="98"/>
        <v>12874.396135265699</v>
      </c>
      <c r="L369" s="39">
        <v>1</v>
      </c>
      <c r="M369" s="37">
        <f t="shared" ref="M369:M400" si="99">+L369-X369-Z369-AD369-AB369-AF369-AH369-AJ369-AL369-AO369-AQ369-AS369-AU369-AW369-AY369-BA369-BC369-BE369-BG369-BI369-BK369-BM369-BO369-BQ369-BS369-BU369-BW369-BY369-CA369-CC369-CE369-CG369</f>
        <v>1</v>
      </c>
      <c r="N369" s="38"/>
      <c r="O369" s="46"/>
      <c r="P369" s="42">
        <f t="shared" si="93"/>
        <v>1066</v>
      </c>
      <c r="Q369" s="38"/>
      <c r="R369" s="38"/>
      <c r="S369" s="38"/>
      <c r="T369" s="38"/>
      <c r="U369" s="37">
        <f t="shared" si="95"/>
        <v>1</v>
      </c>
      <c r="V369" s="38" t="s">
        <v>740</v>
      </c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43"/>
      <c r="AH369" s="44"/>
      <c r="AI369" s="45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  <c r="BS369" s="38"/>
      <c r="BT369" s="38"/>
      <c r="BU369" s="38"/>
      <c r="BV369" s="38"/>
      <c r="BW369" s="38"/>
      <c r="BX369" s="38"/>
      <c r="BY369" s="38"/>
      <c r="BZ369" s="38"/>
      <c r="CA369" s="38"/>
      <c r="CB369" s="38"/>
      <c r="CC369" s="38"/>
      <c r="CD369" s="38"/>
      <c r="CE369" s="38"/>
      <c r="CF369" s="38"/>
      <c r="CG369" s="38"/>
      <c r="CH369" s="38"/>
    </row>
    <row r="370" spans="1:86">
      <c r="A370" s="33">
        <v>45797</v>
      </c>
      <c r="B370" s="1" t="s">
        <v>741</v>
      </c>
      <c r="C370" s="1" t="s">
        <v>741</v>
      </c>
      <c r="D370" s="1"/>
      <c r="E370" s="38" t="s">
        <v>742</v>
      </c>
      <c r="F370" s="38">
        <v>90</v>
      </c>
      <c r="G370" s="38" t="s">
        <v>402</v>
      </c>
      <c r="H370" s="38">
        <v>92</v>
      </c>
      <c r="I370" s="38">
        <v>1068</v>
      </c>
      <c r="J370" s="11">
        <f t="shared" si="97"/>
        <v>1068</v>
      </c>
      <c r="K370" s="5">
        <f t="shared" si="98"/>
        <v>12898.55072463768</v>
      </c>
      <c r="L370" s="39">
        <v>1</v>
      </c>
      <c r="M370" s="37">
        <f t="shared" si="99"/>
        <v>1</v>
      </c>
      <c r="N370" s="38"/>
      <c r="O370" s="46"/>
      <c r="P370" s="42">
        <f t="shared" si="93"/>
        <v>1068</v>
      </c>
      <c r="Q370" s="38"/>
      <c r="R370" s="38"/>
      <c r="S370" s="38"/>
      <c r="T370" s="38"/>
      <c r="U370" s="37">
        <f t="shared" si="95"/>
        <v>1</v>
      </c>
      <c r="V370" s="38" t="s">
        <v>740</v>
      </c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43"/>
      <c r="AH370" s="44"/>
      <c r="AI370" s="45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  <c r="BS370" s="38"/>
      <c r="BT370" s="38"/>
      <c r="BU370" s="38"/>
      <c r="BV370" s="38"/>
      <c r="BW370" s="38"/>
      <c r="BX370" s="38"/>
      <c r="BY370" s="38"/>
      <c r="BZ370" s="38"/>
      <c r="CA370" s="38"/>
      <c r="CB370" s="38"/>
      <c r="CC370" s="38"/>
      <c r="CD370" s="38"/>
      <c r="CE370" s="38"/>
      <c r="CF370" s="38"/>
      <c r="CG370" s="38"/>
      <c r="CH370" s="38"/>
    </row>
    <row r="371" spans="1:86">
      <c r="A371" s="33">
        <v>45797</v>
      </c>
      <c r="B371" s="1" t="s">
        <v>741</v>
      </c>
      <c r="C371" s="1" t="s">
        <v>741</v>
      </c>
      <c r="D371" s="1"/>
      <c r="E371" s="38" t="s">
        <v>742</v>
      </c>
      <c r="F371" s="38">
        <v>90</v>
      </c>
      <c r="G371" s="38" t="s">
        <v>402</v>
      </c>
      <c r="H371" s="38">
        <v>92</v>
      </c>
      <c r="I371" s="38">
        <v>1068</v>
      </c>
      <c r="J371" s="11">
        <f t="shared" si="97"/>
        <v>1068</v>
      </c>
      <c r="K371" s="5">
        <f t="shared" si="98"/>
        <v>12898.55072463768</v>
      </c>
      <c r="L371" s="39">
        <v>1</v>
      </c>
      <c r="M371" s="37">
        <f t="shared" si="99"/>
        <v>1</v>
      </c>
      <c r="N371" s="38"/>
      <c r="O371" s="46"/>
      <c r="P371" s="42">
        <f t="shared" si="93"/>
        <v>1068</v>
      </c>
      <c r="Q371" s="38"/>
      <c r="R371" s="38"/>
      <c r="S371" s="38"/>
      <c r="T371" s="38"/>
      <c r="U371" s="37">
        <f t="shared" si="95"/>
        <v>1</v>
      </c>
      <c r="V371" s="38" t="s">
        <v>740</v>
      </c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43"/>
      <c r="AH371" s="44"/>
      <c r="AI371" s="45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  <c r="BS371" s="38"/>
      <c r="BT371" s="38"/>
      <c r="BU371" s="38"/>
      <c r="BV371" s="38"/>
      <c r="BW371" s="38"/>
      <c r="BX371" s="38"/>
      <c r="BY371" s="38"/>
      <c r="BZ371" s="38"/>
      <c r="CA371" s="38"/>
      <c r="CB371" s="38"/>
      <c r="CC371" s="38"/>
      <c r="CD371" s="38"/>
      <c r="CE371" s="38"/>
      <c r="CF371" s="38"/>
      <c r="CG371" s="38"/>
      <c r="CH371" s="38"/>
    </row>
    <row r="372" spans="1:86">
      <c r="A372" s="33">
        <v>45797</v>
      </c>
      <c r="B372" s="1" t="s">
        <v>741</v>
      </c>
      <c r="C372" s="1" t="s">
        <v>741</v>
      </c>
      <c r="D372" s="1"/>
      <c r="E372" s="38" t="s">
        <v>742</v>
      </c>
      <c r="F372" s="38">
        <v>90</v>
      </c>
      <c r="G372" s="38" t="s">
        <v>402</v>
      </c>
      <c r="H372" s="38">
        <v>92</v>
      </c>
      <c r="I372" s="38">
        <v>1065</v>
      </c>
      <c r="J372" s="11">
        <f t="shared" si="97"/>
        <v>1065</v>
      </c>
      <c r="K372" s="5">
        <f t="shared" ref="K372:K375" si="100">+J372/(F372*H372*10^-5)</f>
        <v>12862.318840579708</v>
      </c>
      <c r="L372" s="39">
        <v>1</v>
      </c>
      <c r="M372" s="37">
        <f t="shared" si="99"/>
        <v>1</v>
      </c>
      <c r="N372" s="38"/>
      <c r="O372" s="46"/>
      <c r="P372" s="42">
        <f t="shared" si="93"/>
        <v>1065</v>
      </c>
      <c r="Q372" s="38"/>
      <c r="R372" s="38"/>
      <c r="S372" s="38"/>
      <c r="T372" s="38"/>
      <c r="U372" s="37">
        <f t="shared" si="95"/>
        <v>1</v>
      </c>
      <c r="V372" s="38" t="s">
        <v>740</v>
      </c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43"/>
      <c r="AH372" s="44"/>
      <c r="AI372" s="45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8"/>
      <c r="CE372" s="38"/>
      <c r="CF372" s="38"/>
      <c r="CG372" s="38"/>
      <c r="CH372" s="38"/>
    </row>
    <row r="373" spans="1:86">
      <c r="A373" s="33">
        <v>45797</v>
      </c>
      <c r="B373" s="1" t="s">
        <v>741</v>
      </c>
      <c r="C373" s="1" t="s">
        <v>741</v>
      </c>
      <c r="D373" s="1"/>
      <c r="E373" s="38" t="s">
        <v>742</v>
      </c>
      <c r="F373" s="38">
        <v>90</v>
      </c>
      <c r="G373" s="38" t="s">
        <v>402</v>
      </c>
      <c r="H373" s="38">
        <v>92</v>
      </c>
      <c r="I373" s="38">
        <v>1071</v>
      </c>
      <c r="J373" s="11">
        <f t="shared" si="97"/>
        <v>1071</v>
      </c>
      <c r="K373" s="5">
        <f t="shared" si="100"/>
        <v>12934.78260869565</v>
      </c>
      <c r="L373" s="39">
        <v>1</v>
      </c>
      <c r="M373" s="37">
        <f t="shared" si="99"/>
        <v>1</v>
      </c>
      <c r="N373" s="38"/>
      <c r="O373" s="46"/>
      <c r="P373" s="42">
        <f t="shared" si="93"/>
        <v>1071</v>
      </c>
      <c r="Q373" s="38"/>
      <c r="R373" s="38"/>
      <c r="S373" s="38"/>
      <c r="T373" s="38"/>
      <c r="U373" s="37">
        <f t="shared" si="95"/>
        <v>1</v>
      </c>
      <c r="V373" s="38" t="s">
        <v>740</v>
      </c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43"/>
      <c r="AH373" s="44"/>
      <c r="AI373" s="45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</row>
    <row r="374" spans="1:86">
      <c r="A374" s="33">
        <v>45797</v>
      </c>
      <c r="B374" s="1" t="s">
        <v>741</v>
      </c>
      <c r="C374" s="1" t="s">
        <v>741</v>
      </c>
      <c r="D374" s="1"/>
      <c r="E374" s="38" t="s">
        <v>742</v>
      </c>
      <c r="F374" s="38">
        <v>90</v>
      </c>
      <c r="G374" s="38" t="s">
        <v>402</v>
      </c>
      <c r="H374" s="38">
        <v>92</v>
      </c>
      <c r="I374" s="38">
        <v>1073</v>
      </c>
      <c r="J374" s="11">
        <f t="shared" si="97"/>
        <v>1073</v>
      </c>
      <c r="K374" s="5">
        <f t="shared" si="100"/>
        <v>12958.937198067631</v>
      </c>
      <c r="L374" s="39">
        <v>1</v>
      </c>
      <c r="M374" s="37">
        <f t="shared" si="99"/>
        <v>1</v>
      </c>
      <c r="N374" s="38"/>
      <c r="O374" s="46"/>
      <c r="P374" s="42">
        <f t="shared" si="93"/>
        <v>1073</v>
      </c>
      <c r="Q374" s="38"/>
      <c r="R374" s="38"/>
      <c r="S374" s="38"/>
      <c r="T374" s="38"/>
      <c r="U374" s="37">
        <f t="shared" si="95"/>
        <v>1</v>
      </c>
      <c r="V374" s="38" t="s">
        <v>740</v>
      </c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43"/>
      <c r="AH374" s="44"/>
      <c r="AI374" s="45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  <c r="CH374" s="38"/>
    </row>
    <row r="375" spans="1:86">
      <c r="A375" s="33">
        <v>45797</v>
      </c>
      <c r="B375" s="1" t="s">
        <v>743</v>
      </c>
      <c r="C375" s="1" t="s">
        <v>743</v>
      </c>
      <c r="D375" s="1"/>
      <c r="E375" s="38" t="s">
        <v>50</v>
      </c>
      <c r="F375" s="38">
        <v>110</v>
      </c>
      <c r="G375" s="38" t="s">
        <v>402</v>
      </c>
      <c r="H375" s="38">
        <v>80</v>
      </c>
      <c r="I375" s="38">
        <v>809</v>
      </c>
      <c r="J375" s="11">
        <f t="shared" si="97"/>
        <v>809</v>
      </c>
      <c r="K375" s="5">
        <f t="shared" si="100"/>
        <v>9193.181818181818</v>
      </c>
      <c r="L375" s="39">
        <v>1</v>
      </c>
      <c r="M375" s="37">
        <f t="shared" si="99"/>
        <v>1</v>
      </c>
      <c r="N375" s="38"/>
      <c r="O375" s="46"/>
      <c r="P375" s="42">
        <f t="shared" ref="P375:P410" si="101">+J375-O375</f>
        <v>809</v>
      </c>
      <c r="Q375" s="38"/>
      <c r="R375" s="38"/>
      <c r="S375" s="38"/>
      <c r="T375" s="38"/>
      <c r="U375" s="37">
        <f t="shared" si="95"/>
        <v>1</v>
      </c>
      <c r="V375" s="38" t="s">
        <v>740</v>
      </c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43"/>
      <c r="AH375" s="44"/>
      <c r="AI375" s="45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8"/>
      <c r="CE375" s="38"/>
      <c r="CF375" s="38"/>
      <c r="CG375" s="38"/>
      <c r="CH375" s="38"/>
    </row>
    <row r="376" spans="1:86">
      <c r="A376" s="33">
        <v>45813</v>
      </c>
      <c r="B376" s="1" t="s">
        <v>241</v>
      </c>
      <c r="C376" s="1" t="s">
        <v>241</v>
      </c>
      <c r="D376" s="1"/>
      <c r="E376" s="38" t="s">
        <v>83</v>
      </c>
      <c r="F376" s="38">
        <v>50</v>
      </c>
      <c r="G376" s="38" t="s">
        <v>744</v>
      </c>
      <c r="H376" s="38">
        <v>100</v>
      </c>
      <c r="I376" s="38">
        <v>522</v>
      </c>
      <c r="J376" s="11">
        <f t="shared" si="97"/>
        <v>24012</v>
      </c>
      <c r="K376" s="5">
        <f t="shared" ref="K376:K378" si="102">+J376/(F376*H376*10^-5)</f>
        <v>480240</v>
      </c>
      <c r="L376" s="39">
        <v>46</v>
      </c>
      <c r="M376" s="37">
        <f t="shared" si="99"/>
        <v>46</v>
      </c>
      <c r="N376" s="38"/>
      <c r="O376" s="46"/>
      <c r="P376" s="42">
        <f t="shared" si="101"/>
        <v>24012</v>
      </c>
      <c r="Q376" s="38"/>
      <c r="R376" s="38"/>
      <c r="S376" s="38"/>
      <c r="T376" s="38"/>
      <c r="U376" s="37">
        <f t="shared" si="95"/>
        <v>46</v>
      </c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43"/>
      <c r="AH376" s="44"/>
      <c r="AI376" s="45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8"/>
      <c r="CE376" s="38"/>
      <c r="CF376" s="38"/>
      <c r="CG376" s="38"/>
      <c r="CH376" s="38"/>
    </row>
    <row r="377" spans="1:86">
      <c r="A377" s="33">
        <v>45813</v>
      </c>
      <c r="B377" s="1" t="s">
        <v>745</v>
      </c>
      <c r="C377" s="1" t="s">
        <v>745</v>
      </c>
      <c r="D377" s="1"/>
      <c r="E377" s="38" t="s">
        <v>83</v>
      </c>
      <c r="F377" s="38">
        <v>40</v>
      </c>
      <c r="G377" s="38" t="s">
        <v>744</v>
      </c>
      <c r="H377" s="38">
        <v>110</v>
      </c>
      <c r="I377" s="38">
        <f>14337/27</f>
        <v>531</v>
      </c>
      <c r="J377" s="11">
        <f t="shared" si="97"/>
        <v>14337</v>
      </c>
      <c r="K377" s="5">
        <f t="shared" si="102"/>
        <v>325840.90909090906</v>
      </c>
      <c r="L377" s="39">
        <v>27</v>
      </c>
      <c r="M377" s="37">
        <f t="shared" si="99"/>
        <v>27</v>
      </c>
      <c r="N377" s="38"/>
      <c r="O377" s="46"/>
      <c r="P377" s="42">
        <f t="shared" si="101"/>
        <v>14337</v>
      </c>
      <c r="Q377" s="38"/>
      <c r="R377" s="38"/>
      <c r="S377" s="38"/>
      <c r="T377" s="38"/>
      <c r="U377" s="37">
        <f t="shared" si="95"/>
        <v>27</v>
      </c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43"/>
      <c r="AH377" s="44"/>
      <c r="AI377" s="45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8"/>
      <c r="CE377" s="38"/>
      <c r="CF377" s="38"/>
      <c r="CG377" s="38"/>
      <c r="CH377" s="38"/>
    </row>
    <row r="378" spans="1:86">
      <c r="A378" s="33">
        <v>45813</v>
      </c>
      <c r="B378" s="1" t="s">
        <v>241</v>
      </c>
      <c r="C378" s="1" t="s">
        <v>241</v>
      </c>
      <c r="D378" s="1"/>
      <c r="E378" s="38" t="s">
        <v>83</v>
      </c>
      <c r="F378" s="38">
        <v>50</v>
      </c>
      <c r="G378" s="38" t="s">
        <v>744</v>
      </c>
      <c r="H378" s="38">
        <v>100</v>
      </c>
      <c r="I378" s="38">
        <v>495</v>
      </c>
      <c r="J378" s="11">
        <f t="shared" si="97"/>
        <v>11385</v>
      </c>
      <c r="K378" s="5">
        <f t="shared" si="102"/>
        <v>227700</v>
      </c>
      <c r="L378" s="39">
        <v>23</v>
      </c>
      <c r="M378" s="37">
        <f t="shared" si="99"/>
        <v>23</v>
      </c>
      <c r="N378" s="38"/>
      <c r="O378" s="46"/>
      <c r="P378" s="42">
        <f t="shared" si="101"/>
        <v>11385</v>
      </c>
      <c r="Q378" s="38"/>
      <c r="R378" s="38"/>
      <c r="S378" s="38"/>
      <c r="T378" s="38"/>
      <c r="U378" s="37">
        <f t="shared" ref="U378:U412" si="103">+L378-X378-Z378-AD378-AB378-AF378-AH378-AJ378-AL378-AO378-AQ378-AS378-AU378-AW378-AY378-BA378-BC378-BE378-BG378-BI378-BK378-BM378-BO378-BQ378-BS378-BU378-BW378-BY378-CA378-CC378-CE378-CG378</f>
        <v>23</v>
      </c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43"/>
      <c r="AH378" s="44"/>
      <c r="AI378" s="45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  <c r="CH378" s="38"/>
    </row>
    <row r="379" spans="1:86">
      <c r="A379" s="33">
        <v>45818</v>
      </c>
      <c r="B379" s="1"/>
      <c r="C379" s="1"/>
      <c r="D379" s="1"/>
      <c r="E379" s="38" t="s">
        <v>245</v>
      </c>
      <c r="F379" s="38">
        <v>80</v>
      </c>
      <c r="G379" s="38" t="s">
        <v>287</v>
      </c>
      <c r="H379" s="38">
        <v>109</v>
      </c>
      <c r="I379" s="38">
        <v>1270</v>
      </c>
      <c r="J379" s="11">
        <f t="shared" si="97"/>
        <v>1270</v>
      </c>
      <c r="K379" s="5">
        <f t="shared" ref="K379:K393" si="104">+J379/(F379*H379*10^-5)</f>
        <v>14564.220183486237</v>
      </c>
      <c r="L379" s="39">
        <v>1</v>
      </c>
      <c r="M379" s="37">
        <f t="shared" si="99"/>
        <v>1</v>
      </c>
      <c r="N379" s="38"/>
      <c r="O379" s="46"/>
      <c r="P379" s="42">
        <f t="shared" si="101"/>
        <v>1270</v>
      </c>
      <c r="Q379" s="38"/>
      <c r="R379" s="38"/>
      <c r="S379" s="38"/>
      <c r="T379" s="38"/>
      <c r="U379" s="37">
        <f t="shared" si="103"/>
        <v>1</v>
      </c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43"/>
      <c r="AH379" s="44"/>
      <c r="AI379" s="45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8"/>
      <c r="CE379" s="38"/>
      <c r="CF379" s="38"/>
      <c r="CG379" s="38"/>
      <c r="CH379" s="38"/>
    </row>
    <row r="380" spans="1:86">
      <c r="A380" s="33">
        <v>45818</v>
      </c>
      <c r="B380" s="1" t="s">
        <v>419</v>
      </c>
      <c r="C380" s="1" t="s">
        <v>419</v>
      </c>
      <c r="D380" s="1"/>
      <c r="E380" s="38" t="s">
        <v>245</v>
      </c>
      <c r="F380" s="38">
        <v>70</v>
      </c>
      <c r="G380" s="38" t="s">
        <v>287</v>
      </c>
      <c r="H380" s="38">
        <v>103</v>
      </c>
      <c r="I380" s="38">
        <v>1278</v>
      </c>
      <c r="J380" s="11">
        <f t="shared" si="97"/>
        <v>1278</v>
      </c>
      <c r="K380" s="5">
        <f t="shared" si="104"/>
        <v>17725.381414701802</v>
      </c>
      <c r="L380" s="39">
        <v>1</v>
      </c>
      <c r="M380" s="37">
        <f t="shared" si="99"/>
        <v>1</v>
      </c>
      <c r="N380" s="38" t="s">
        <v>248</v>
      </c>
      <c r="O380" s="46">
        <f>J380</f>
        <v>1278</v>
      </c>
      <c r="P380" s="42">
        <f t="shared" si="101"/>
        <v>0</v>
      </c>
      <c r="Q380" s="38"/>
      <c r="R380" s="38"/>
      <c r="S380" s="38"/>
      <c r="T380" s="38"/>
      <c r="U380" s="37">
        <f t="shared" si="103"/>
        <v>1</v>
      </c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43"/>
      <c r="AH380" s="44"/>
      <c r="AI380" s="45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8"/>
      <c r="CE380" s="38"/>
      <c r="CF380" s="38"/>
      <c r="CG380" s="38"/>
      <c r="CH380" s="38"/>
    </row>
    <row r="381" spans="1:86">
      <c r="A381" s="33">
        <v>45818</v>
      </c>
      <c r="B381" s="1" t="s">
        <v>746</v>
      </c>
      <c r="C381" s="1" t="s">
        <v>746</v>
      </c>
      <c r="D381" s="1"/>
      <c r="E381" s="38" t="s">
        <v>245</v>
      </c>
      <c r="F381" s="38">
        <v>55</v>
      </c>
      <c r="G381" s="38" t="s">
        <v>287</v>
      </c>
      <c r="H381" s="38">
        <v>113</v>
      </c>
      <c r="I381" s="38">
        <v>733</v>
      </c>
      <c r="J381" s="11">
        <f t="shared" si="97"/>
        <v>733</v>
      </c>
      <c r="K381" s="5">
        <f t="shared" si="104"/>
        <v>11794.046661303299</v>
      </c>
      <c r="L381" s="39">
        <v>1</v>
      </c>
      <c r="M381" s="37">
        <f t="shared" si="99"/>
        <v>1</v>
      </c>
      <c r="N381" s="38"/>
      <c r="O381" s="46"/>
      <c r="P381" s="42">
        <f t="shared" si="101"/>
        <v>733</v>
      </c>
      <c r="Q381" s="38"/>
      <c r="R381" s="38"/>
      <c r="S381" s="38"/>
      <c r="T381" s="38"/>
      <c r="U381" s="37">
        <f t="shared" si="103"/>
        <v>1</v>
      </c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43"/>
      <c r="AH381" s="44"/>
      <c r="AI381" s="45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8"/>
      <c r="CE381" s="38"/>
      <c r="CF381" s="38"/>
      <c r="CG381" s="38"/>
      <c r="CH381" s="38"/>
    </row>
    <row r="382" spans="1:86">
      <c r="A382" s="33">
        <v>45818</v>
      </c>
      <c r="B382" s="1"/>
      <c r="C382" s="1"/>
      <c r="D382" s="1" t="s">
        <v>747</v>
      </c>
      <c r="E382" s="38" t="s">
        <v>245</v>
      </c>
      <c r="F382" s="38">
        <v>60</v>
      </c>
      <c r="G382" s="38" t="s">
        <v>287</v>
      </c>
      <c r="H382" s="38">
        <v>115</v>
      </c>
      <c r="I382" s="38">
        <v>891</v>
      </c>
      <c r="J382" s="11">
        <f t="shared" si="97"/>
        <v>891</v>
      </c>
      <c r="K382" s="5">
        <f t="shared" si="104"/>
        <v>12913.043478260868</v>
      </c>
      <c r="L382" s="39">
        <v>1</v>
      </c>
      <c r="M382" s="37">
        <f t="shared" si="99"/>
        <v>1</v>
      </c>
      <c r="N382" s="38"/>
      <c r="O382" s="46"/>
      <c r="P382" s="42">
        <f t="shared" si="101"/>
        <v>891</v>
      </c>
      <c r="Q382" s="38"/>
      <c r="R382" s="38"/>
      <c r="S382" s="38"/>
      <c r="T382" s="38"/>
      <c r="U382" s="37">
        <f t="shared" si="103"/>
        <v>1</v>
      </c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43"/>
      <c r="AH382" s="44"/>
      <c r="AI382" s="45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38"/>
      <c r="CC382" s="38"/>
      <c r="CD382" s="38"/>
      <c r="CE382" s="38"/>
      <c r="CF382" s="38"/>
      <c r="CG382" s="38"/>
      <c r="CH382" s="38"/>
    </row>
    <row r="383" spans="1:86">
      <c r="A383" s="33">
        <v>45818</v>
      </c>
      <c r="B383" s="1" t="s">
        <v>746</v>
      </c>
      <c r="C383" s="1" t="s">
        <v>746</v>
      </c>
      <c r="D383" s="1"/>
      <c r="E383" s="38" t="s">
        <v>245</v>
      </c>
      <c r="F383" s="38">
        <v>55</v>
      </c>
      <c r="G383" s="38" t="s">
        <v>287</v>
      </c>
      <c r="H383" s="38">
        <v>113</v>
      </c>
      <c r="I383" s="38">
        <v>733</v>
      </c>
      <c r="J383" s="11">
        <f t="shared" si="97"/>
        <v>733</v>
      </c>
      <c r="K383" s="5">
        <f t="shared" si="104"/>
        <v>11794.046661303299</v>
      </c>
      <c r="L383" s="39">
        <v>1</v>
      </c>
      <c r="M383" s="37">
        <f t="shared" si="99"/>
        <v>1</v>
      </c>
      <c r="N383" s="38"/>
      <c r="O383" s="46"/>
      <c r="P383" s="42">
        <f t="shared" si="101"/>
        <v>733</v>
      </c>
      <c r="Q383" s="38"/>
      <c r="R383" s="38"/>
      <c r="S383" s="38"/>
      <c r="T383" s="38"/>
      <c r="U383" s="37">
        <f t="shared" si="103"/>
        <v>1</v>
      </c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43"/>
      <c r="AH383" s="44"/>
      <c r="AI383" s="45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8"/>
      <c r="CE383" s="38"/>
      <c r="CF383" s="38"/>
      <c r="CG383" s="38"/>
      <c r="CH383" s="38"/>
    </row>
    <row r="384" spans="1:86">
      <c r="A384" s="33">
        <v>45818</v>
      </c>
      <c r="B384" s="1"/>
      <c r="C384" s="1"/>
      <c r="D384" s="1"/>
      <c r="E384" s="38" t="s">
        <v>245</v>
      </c>
      <c r="F384" s="38">
        <v>85</v>
      </c>
      <c r="G384" s="38" t="s">
        <v>287</v>
      </c>
      <c r="H384" s="38">
        <v>113</v>
      </c>
      <c r="I384" s="38">
        <v>1088</v>
      </c>
      <c r="J384" s="11">
        <f t="shared" si="97"/>
        <v>1088</v>
      </c>
      <c r="K384" s="5">
        <f t="shared" si="104"/>
        <v>11327.433628318582</v>
      </c>
      <c r="L384" s="39">
        <v>1</v>
      </c>
      <c r="M384" s="37">
        <f t="shared" si="99"/>
        <v>1</v>
      </c>
      <c r="N384" s="38"/>
      <c r="O384" s="46"/>
      <c r="P384" s="42">
        <f t="shared" si="101"/>
        <v>1088</v>
      </c>
      <c r="Q384" s="38"/>
      <c r="R384" s="38"/>
      <c r="S384" s="38"/>
      <c r="T384" s="38"/>
      <c r="U384" s="37">
        <f t="shared" si="103"/>
        <v>1</v>
      </c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43"/>
      <c r="AH384" s="44"/>
      <c r="AI384" s="45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8"/>
      <c r="CE384" s="38"/>
      <c r="CF384" s="38"/>
      <c r="CG384" s="38"/>
      <c r="CH384" s="38"/>
    </row>
    <row r="385" spans="1:86">
      <c r="A385" s="33">
        <v>45818</v>
      </c>
      <c r="B385" s="1"/>
      <c r="C385" s="1"/>
      <c r="D385" s="1"/>
      <c r="E385" s="38" t="s">
        <v>245</v>
      </c>
      <c r="F385" s="38">
        <v>60</v>
      </c>
      <c r="G385" s="38" t="s">
        <v>287</v>
      </c>
      <c r="H385" s="38">
        <v>104</v>
      </c>
      <c r="I385" s="38">
        <v>1210</v>
      </c>
      <c r="J385" s="11">
        <f t="shared" si="97"/>
        <v>1210</v>
      </c>
      <c r="K385" s="5">
        <f t="shared" si="104"/>
        <v>19391.025641025641</v>
      </c>
      <c r="L385" s="39">
        <v>1</v>
      </c>
      <c r="M385" s="37">
        <f t="shared" si="99"/>
        <v>1</v>
      </c>
      <c r="N385" s="38"/>
      <c r="O385" s="46"/>
      <c r="P385" s="42">
        <f t="shared" si="101"/>
        <v>1210</v>
      </c>
      <c r="Q385" s="38"/>
      <c r="R385" s="38"/>
      <c r="S385" s="38"/>
      <c r="T385" s="38"/>
      <c r="U385" s="37">
        <f t="shared" si="103"/>
        <v>1</v>
      </c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43"/>
      <c r="AH385" s="44"/>
      <c r="AI385" s="45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  <c r="CH385" s="38"/>
    </row>
    <row r="386" spans="1:86">
      <c r="A386" s="33">
        <v>45818</v>
      </c>
      <c r="B386" s="1"/>
      <c r="C386" s="1"/>
      <c r="D386" s="1"/>
      <c r="E386" s="38" t="s">
        <v>245</v>
      </c>
      <c r="F386" s="38">
        <v>65</v>
      </c>
      <c r="G386" s="38" t="s">
        <v>287</v>
      </c>
      <c r="H386" s="38">
        <v>102</v>
      </c>
      <c r="I386" s="38">
        <v>1043</v>
      </c>
      <c r="J386" s="11">
        <f t="shared" si="97"/>
        <v>1043</v>
      </c>
      <c r="K386" s="5">
        <f t="shared" si="104"/>
        <v>15731.5233785822</v>
      </c>
      <c r="L386" s="39">
        <v>1</v>
      </c>
      <c r="M386" s="37">
        <f t="shared" si="99"/>
        <v>1</v>
      </c>
      <c r="N386" s="38"/>
      <c r="O386" s="46"/>
      <c r="P386" s="42">
        <f t="shared" si="101"/>
        <v>1043</v>
      </c>
      <c r="Q386" s="38"/>
      <c r="R386" s="38"/>
      <c r="S386" s="38"/>
      <c r="T386" s="38"/>
      <c r="U386" s="37">
        <f t="shared" si="103"/>
        <v>1</v>
      </c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43"/>
      <c r="AH386" s="44"/>
      <c r="AI386" s="45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  <c r="CH386" s="38"/>
    </row>
    <row r="387" spans="1:86">
      <c r="A387" s="33">
        <v>45818</v>
      </c>
      <c r="B387" s="1"/>
      <c r="C387" s="1"/>
      <c r="D387" s="1"/>
      <c r="E387" s="38" t="s">
        <v>245</v>
      </c>
      <c r="F387" s="38">
        <v>70</v>
      </c>
      <c r="G387" s="38" t="s">
        <v>287</v>
      </c>
      <c r="H387" s="38">
        <v>104</v>
      </c>
      <c r="I387" s="38">
        <v>1060</v>
      </c>
      <c r="J387" s="11">
        <f t="shared" si="97"/>
        <v>1060</v>
      </c>
      <c r="K387" s="5">
        <f t="shared" si="104"/>
        <v>14560.43956043956</v>
      </c>
      <c r="L387" s="39">
        <v>1</v>
      </c>
      <c r="M387" s="37">
        <f t="shared" si="99"/>
        <v>1</v>
      </c>
      <c r="N387" s="38"/>
      <c r="O387" s="46"/>
      <c r="P387" s="42">
        <f t="shared" si="101"/>
        <v>1060</v>
      </c>
      <c r="Q387" s="38"/>
      <c r="R387" s="38"/>
      <c r="S387" s="38"/>
      <c r="T387" s="38"/>
      <c r="U387" s="37">
        <f t="shared" si="103"/>
        <v>1</v>
      </c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43"/>
      <c r="AH387" s="44"/>
      <c r="AI387" s="45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8"/>
      <c r="CE387" s="38"/>
      <c r="CF387" s="38"/>
      <c r="CG387" s="38"/>
      <c r="CH387" s="38"/>
    </row>
    <row r="388" spans="1:86">
      <c r="A388" s="33">
        <v>45818</v>
      </c>
      <c r="B388" s="1" t="s">
        <v>748</v>
      </c>
      <c r="C388" s="1" t="s">
        <v>748</v>
      </c>
      <c r="D388" s="1"/>
      <c r="E388" s="38" t="s">
        <v>245</v>
      </c>
      <c r="F388" s="38">
        <v>80</v>
      </c>
      <c r="G388" s="38" t="s">
        <v>287</v>
      </c>
      <c r="H388" s="38">
        <v>113</v>
      </c>
      <c r="I388" s="38">
        <v>1075</v>
      </c>
      <c r="J388" s="11">
        <f t="shared" si="97"/>
        <v>1075</v>
      </c>
      <c r="K388" s="5">
        <f t="shared" si="104"/>
        <v>11891.592920353982</v>
      </c>
      <c r="L388" s="39">
        <v>1</v>
      </c>
      <c r="M388" s="37">
        <f t="shared" si="99"/>
        <v>1</v>
      </c>
      <c r="N388" s="38"/>
      <c r="O388" s="46"/>
      <c r="P388" s="42">
        <f t="shared" si="101"/>
        <v>1075</v>
      </c>
      <c r="Q388" s="38"/>
      <c r="R388" s="38"/>
      <c r="S388" s="38"/>
      <c r="T388" s="38"/>
      <c r="U388" s="37">
        <f t="shared" si="103"/>
        <v>1</v>
      </c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43"/>
      <c r="AH388" s="44"/>
      <c r="AI388" s="45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  <c r="CH388" s="38"/>
    </row>
    <row r="389" spans="1:86">
      <c r="A389" s="33">
        <v>45818</v>
      </c>
      <c r="B389" s="1"/>
      <c r="C389" s="1"/>
      <c r="D389" s="1"/>
      <c r="E389" s="38" t="s">
        <v>245</v>
      </c>
      <c r="F389" s="38">
        <v>75</v>
      </c>
      <c r="G389" s="38" t="s">
        <v>287</v>
      </c>
      <c r="H389" s="38">
        <v>113</v>
      </c>
      <c r="I389" s="38">
        <v>802</v>
      </c>
      <c r="J389" s="11">
        <f t="shared" si="97"/>
        <v>802</v>
      </c>
      <c r="K389" s="5">
        <f t="shared" si="104"/>
        <v>9463.1268436578157</v>
      </c>
      <c r="L389" s="39">
        <v>1</v>
      </c>
      <c r="M389" s="37">
        <f t="shared" si="99"/>
        <v>1</v>
      </c>
      <c r="N389" s="38"/>
      <c r="O389" s="46"/>
      <c r="P389" s="42">
        <f t="shared" si="101"/>
        <v>802</v>
      </c>
      <c r="Q389" s="38"/>
      <c r="R389" s="38"/>
      <c r="S389" s="38"/>
      <c r="T389" s="38"/>
      <c r="U389" s="37">
        <f t="shared" si="103"/>
        <v>1</v>
      </c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43"/>
      <c r="AH389" s="44"/>
      <c r="AI389" s="45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  <c r="CH389" s="38"/>
    </row>
    <row r="390" spans="1:86">
      <c r="A390" s="33">
        <v>45818</v>
      </c>
      <c r="B390" s="1"/>
      <c r="C390" s="1"/>
      <c r="D390" s="1"/>
      <c r="E390" s="38" t="s">
        <v>245</v>
      </c>
      <c r="F390" s="38">
        <v>70</v>
      </c>
      <c r="G390" s="38" t="s">
        <v>287</v>
      </c>
      <c r="H390" s="38">
        <v>98</v>
      </c>
      <c r="I390" s="38">
        <v>858</v>
      </c>
      <c r="J390" s="11">
        <f t="shared" si="97"/>
        <v>858</v>
      </c>
      <c r="K390" s="5">
        <f t="shared" si="104"/>
        <v>12507.288629737608</v>
      </c>
      <c r="L390" s="39">
        <v>1</v>
      </c>
      <c r="M390" s="37">
        <f t="shared" si="99"/>
        <v>1</v>
      </c>
      <c r="N390" s="38" t="s">
        <v>248</v>
      </c>
      <c r="O390" s="46">
        <f>J390</f>
        <v>858</v>
      </c>
      <c r="P390" s="42">
        <f t="shared" si="101"/>
        <v>0</v>
      </c>
      <c r="Q390" s="38"/>
      <c r="R390" s="38"/>
      <c r="S390" s="38"/>
      <c r="T390" s="38"/>
      <c r="U390" s="37">
        <f t="shared" si="103"/>
        <v>1</v>
      </c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43"/>
      <c r="AH390" s="44"/>
      <c r="AI390" s="45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38"/>
      <c r="CC390" s="38"/>
      <c r="CD390" s="38"/>
      <c r="CE390" s="38"/>
      <c r="CF390" s="38"/>
      <c r="CG390" s="38"/>
      <c r="CH390" s="38"/>
    </row>
    <row r="391" spans="1:86">
      <c r="A391" s="33">
        <v>45818</v>
      </c>
      <c r="B391" s="1"/>
      <c r="C391" s="1"/>
      <c r="D391" s="1"/>
      <c r="E391" s="38" t="s">
        <v>245</v>
      </c>
      <c r="F391" s="38">
        <v>70</v>
      </c>
      <c r="G391" s="38" t="s">
        <v>287</v>
      </c>
      <c r="H391" s="38">
        <v>98.5</v>
      </c>
      <c r="I391" s="38">
        <v>861</v>
      </c>
      <c r="J391" s="11">
        <f t="shared" si="97"/>
        <v>861</v>
      </c>
      <c r="K391" s="5">
        <f t="shared" si="104"/>
        <v>12487.309644670049</v>
      </c>
      <c r="L391" s="39">
        <v>1</v>
      </c>
      <c r="M391" s="37">
        <f t="shared" si="99"/>
        <v>1</v>
      </c>
      <c r="N391" s="38" t="s">
        <v>248</v>
      </c>
      <c r="O391" s="46">
        <f>J391</f>
        <v>861</v>
      </c>
      <c r="P391" s="42">
        <f t="shared" si="101"/>
        <v>0</v>
      </c>
      <c r="Q391" s="38"/>
      <c r="R391" s="38"/>
      <c r="S391" s="38"/>
      <c r="T391" s="38"/>
      <c r="U391" s="37">
        <f t="shared" si="103"/>
        <v>1</v>
      </c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43"/>
      <c r="AH391" s="44"/>
      <c r="AI391" s="45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38"/>
      <c r="CC391" s="38"/>
      <c r="CD391" s="38"/>
      <c r="CE391" s="38"/>
      <c r="CF391" s="38"/>
      <c r="CG391" s="38"/>
      <c r="CH391" s="38"/>
    </row>
    <row r="392" spans="1:86">
      <c r="A392" s="33">
        <v>45818</v>
      </c>
      <c r="B392" s="1"/>
      <c r="C392" s="1"/>
      <c r="D392" s="1"/>
      <c r="E392" s="38" t="s">
        <v>245</v>
      </c>
      <c r="F392" s="38">
        <v>50</v>
      </c>
      <c r="G392" s="38" t="s">
        <v>287</v>
      </c>
      <c r="H392" s="38">
        <v>101</v>
      </c>
      <c r="I392" s="38">
        <v>1046</v>
      </c>
      <c r="J392" s="11">
        <f t="shared" ref="J392:J443" si="105">IFERROR(IF(AND(V392=3,U392&gt;0),I392,I392*U392),"Verify")</f>
        <v>1046</v>
      </c>
      <c r="K392" s="5">
        <f t="shared" si="104"/>
        <v>20712.87128712871</v>
      </c>
      <c r="L392" s="39">
        <v>1</v>
      </c>
      <c r="M392" s="37">
        <f t="shared" si="99"/>
        <v>1</v>
      </c>
      <c r="N392" s="38"/>
      <c r="O392" s="46"/>
      <c r="P392" s="42">
        <f t="shared" si="101"/>
        <v>1046</v>
      </c>
      <c r="Q392" s="38"/>
      <c r="R392" s="38"/>
      <c r="S392" s="38"/>
      <c r="T392" s="38"/>
      <c r="U392" s="37">
        <f t="shared" si="103"/>
        <v>1</v>
      </c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43"/>
      <c r="AH392" s="44"/>
      <c r="AI392" s="45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38"/>
      <c r="CC392" s="38"/>
      <c r="CD392" s="38"/>
      <c r="CE392" s="38"/>
      <c r="CF392" s="38"/>
      <c r="CG392" s="38"/>
      <c r="CH392" s="38"/>
    </row>
    <row r="393" spans="1:86">
      <c r="A393" s="33">
        <v>45818</v>
      </c>
      <c r="B393" s="1" t="s">
        <v>289</v>
      </c>
      <c r="C393" s="1" t="s">
        <v>289</v>
      </c>
      <c r="D393" s="1"/>
      <c r="E393" s="38" t="s">
        <v>245</v>
      </c>
      <c r="F393" s="38">
        <v>75</v>
      </c>
      <c r="G393" s="38" t="s">
        <v>287</v>
      </c>
      <c r="H393" s="38">
        <v>103</v>
      </c>
      <c r="I393" s="38">
        <v>1436</v>
      </c>
      <c r="J393" s="11">
        <f t="shared" si="105"/>
        <v>1436</v>
      </c>
      <c r="K393" s="5">
        <f t="shared" si="104"/>
        <v>18588.996763754043</v>
      </c>
      <c r="L393" s="39">
        <v>1</v>
      </c>
      <c r="M393" s="37">
        <f t="shared" si="99"/>
        <v>1</v>
      </c>
      <c r="N393" s="38" t="s">
        <v>248</v>
      </c>
      <c r="O393" s="46">
        <f>J393</f>
        <v>1436</v>
      </c>
      <c r="P393" s="42">
        <f t="shared" si="101"/>
        <v>0</v>
      </c>
      <c r="Q393" s="38"/>
      <c r="R393" s="38"/>
      <c r="S393" s="38"/>
      <c r="T393" s="38"/>
      <c r="U393" s="37">
        <f t="shared" si="103"/>
        <v>1</v>
      </c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43"/>
      <c r="AH393" s="44"/>
      <c r="AI393" s="45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  <c r="CH393" s="38"/>
    </row>
    <row r="394" spans="1:86">
      <c r="A394" s="33"/>
      <c r="B394" s="1" t="s">
        <v>424</v>
      </c>
      <c r="C394" s="1" t="s">
        <v>424</v>
      </c>
      <c r="D394" s="1" t="s">
        <v>749</v>
      </c>
      <c r="E394" s="38" t="s">
        <v>29</v>
      </c>
      <c r="F394" s="38">
        <v>80</v>
      </c>
      <c r="G394" s="38" t="s">
        <v>115</v>
      </c>
      <c r="H394" s="38">
        <v>100</v>
      </c>
      <c r="I394" s="38">
        <v>800</v>
      </c>
      <c r="J394" s="11">
        <f t="shared" si="105"/>
        <v>800</v>
      </c>
      <c r="K394" s="5">
        <f t="shared" ref="K394:K414" si="106">+J394/(F394*H394*10^-5)</f>
        <v>10000</v>
      </c>
      <c r="L394" s="39">
        <v>1</v>
      </c>
      <c r="M394" s="37">
        <f t="shared" si="99"/>
        <v>1</v>
      </c>
      <c r="N394" s="38"/>
      <c r="O394" s="46"/>
      <c r="P394" s="42">
        <f t="shared" si="101"/>
        <v>800</v>
      </c>
      <c r="Q394" s="38"/>
      <c r="R394" s="38"/>
      <c r="S394" s="38"/>
      <c r="T394" s="38"/>
      <c r="U394" s="37">
        <f t="shared" si="103"/>
        <v>1</v>
      </c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43"/>
      <c r="AH394" s="44"/>
      <c r="AI394" s="45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  <c r="CH394" s="38"/>
    </row>
    <row r="395" spans="1:86">
      <c r="A395" s="33"/>
      <c r="B395" s="1" t="s">
        <v>424</v>
      </c>
      <c r="C395" s="1" t="s">
        <v>424</v>
      </c>
      <c r="D395" s="1" t="s">
        <v>354</v>
      </c>
      <c r="E395" s="38" t="s">
        <v>29</v>
      </c>
      <c r="F395" s="38">
        <v>80</v>
      </c>
      <c r="G395" s="38" t="s">
        <v>115</v>
      </c>
      <c r="H395" s="38">
        <v>100</v>
      </c>
      <c r="I395" s="38">
        <v>800</v>
      </c>
      <c r="J395" s="11">
        <f t="shared" si="105"/>
        <v>4000</v>
      </c>
      <c r="K395" s="5">
        <f t="shared" si="106"/>
        <v>50000</v>
      </c>
      <c r="L395" s="39">
        <v>10</v>
      </c>
      <c r="M395" s="37">
        <f t="shared" si="99"/>
        <v>5</v>
      </c>
      <c r="N395" s="38"/>
      <c r="O395" s="46"/>
      <c r="P395" s="42">
        <f t="shared" si="101"/>
        <v>4000</v>
      </c>
      <c r="Q395" s="38"/>
      <c r="R395" s="38"/>
      <c r="S395" s="38"/>
      <c r="T395" s="38"/>
      <c r="U395" s="37">
        <f t="shared" si="103"/>
        <v>5</v>
      </c>
      <c r="V395" s="38"/>
      <c r="W395" s="38"/>
      <c r="X395" s="38"/>
      <c r="Y395" s="38"/>
      <c r="Z395" s="38"/>
      <c r="AA395" s="38"/>
      <c r="AB395" s="38">
        <v>5</v>
      </c>
      <c r="AC395" s="38"/>
      <c r="AD395" s="38"/>
      <c r="AE395" s="38"/>
      <c r="AF395" s="38"/>
      <c r="AG395" s="43"/>
      <c r="AH395" s="44"/>
      <c r="AI395" s="45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  <c r="CH395" s="38"/>
    </row>
    <row r="396" spans="1:86">
      <c r="A396" s="33"/>
      <c r="B396" s="1" t="s">
        <v>424</v>
      </c>
      <c r="C396" s="1" t="s">
        <v>424</v>
      </c>
      <c r="D396" s="1" t="s">
        <v>354</v>
      </c>
      <c r="E396" s="38" t="s">
        <v>29</v>
      </c>
      <c r="F396" s="38">
        <v>80</v>
      </c>
      <c r="G396" s="38" t="s">
        <v>115</v>
      </c>
      <c r="H396" s="38">
        <v>100</v>
      </c>
      <c r="I396" s="38">
        <v>800</v>
      </c>
      <c r="J396" s="11">
        <f t="shared" si="105"/>
        <v>3200</v>
      </c>
      <c r="K396" s="5">
        <f t="shared" si="106"/>
        <v>40000</v>
      </c>
      <c r="L396" s="39">
        <v>10</v>
      </c>
      <c r="M396" s="37">
        <f t="shared" si="99"/>
        <v>4</v>
      </c>
      <c r="N396" s="38"/>
      <c r="O396" s="46"/>
      <c r="P396" s="42">
        <f t="shared" si="101"/>
        <v>3200</v>
      </c>
      <c r="Q396" s="38"/>
      <c r="R396" s="38"/>
      <c r="S396" s="38"/>
      <c r="T396" s="38"/>
      <c r="U396" s="37">
        <f t="shared" si="103"/>
        <v>4</v>
      </c>
      <c r="V396" s="38"/>
      <c r="W396" s="38"/>
      <c r="X396" s="38"/>
      <c r="Y396" s="38"/>
      <c r="Z396" s="38"/>
      <c r="AA396" s="38"/>
      <c r="AB396" s="38">
        <v>6</v>
      </c>
      <c r="AC396" s="38"/>
      <c r="AD396" s="38"/>
      <c r="AE396" s="38"/>
      <c r="AF396" s="38"/>
      <c r="AG396" s="43"/>
      <c r="AH396" s="44"/>
      <c r="AI396" s="45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  <c r="CH396" s="38"/>
    </row>
    <row r="397" spans="1:86">
      <c r="A397" s="33"/>
      <c r="B397" s="1" t="s">
        <v>750</v>
      </c>
      <c r="C397" s="1" t="s">
        <v>750</v>
      </c>
      <c r="D397" s="1" t="s">
        <v>749</v>
      </c>
      <c r="E397" s="38" t="s">
        <v>29</v>
      </c>
      <c r="F397" s="38">
        <v>80</v>
      </c>
      <c r="G397" s="38" t="s">
        <v>115</v>
      </c>
      <c r="H397" s="38">
        <v>45.5</v>
      </c>
      <c r="I397" s="38">
        <v>207</v>
      </c>
      <c r="J397" s="11">
        <f t="shared" si="105"/>
        <v>207</v>
      </c>
      <c r="K397" s="5">
        <f t="shared" si="106"/>
        <v>5686.8131868131868</v>
      </c>
      <c r="L397" s="39">
        <v>1</v>
      </c>
      <c r="M397" s="37">
        <f t="shared" si="99"/>
        <v>1</v>
      </c>
      <c r="N397" s="38"/>
      <c r="O397" s="46"/>
      <c r="P397" s="42">
        <f t="shared" si="101"/>
        <v>207</v>
      </c>
      <c r="Q397" s="38"/>
      <c r="R397" s="38"/>
      <c r="S397" s="38"/>
      <c r="T397" s="38"/>
      <c r="U397" s="37">
        <f t="shared" si="103"/>
        <v>1</v>
      </c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43"/>
      <c r="AH397" s="44"/>
      <c r="AI397" s="45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</row>
    <row r="398" spans="1:86">
      <c r="A398" s="33"/>
      <c r="B398" s="1" t="s">
        <v>750</v>
      </c>
      <c r="C398" s="1" t="s">
        <v>750</v>
      </c>
      <c r="D398" s="1" t="s">
        <v>749</v>
      </c>
      <c r="E398" s="38" t="s">
        <v>29</v>
      </c>
      <c r="F398" s="38">
        <v>80</v>
      </c>
      <c r="G398" s="38" t="s">
        <v>115</v>
      </c>
      <c r="H398" s="38">
        <v>45.5</v>
      </c>
      <c r="I398" s="38">
        <v>160</v>
      </c>
      <c r="J398" s="11">
        <f t="shared" si="105"/>
        <v>160</v>
      </c>
      <c r="K398" s="5">
        <f t="shared" si="106"/>
        <v>4395.604395604395</v>
      </c>
      <c r="L398" s="39">
        <v>1</v>
      </c>
      <c r="M398" s="37">
        <f t="shared" si="99"/>
        <v>1</v>
      </c>
      <c r="N398" s="38"/>
      <c r="O398" s="46"/>
      <c r="P398" s="42">
        <f t="shared" si="101"/>
        <v>160</v>
      </c>
      <c r="Q398" s="38"/>
      <c r="R398" s="38"/>
      <c r="S398" s="38"/>
      <c r="T398" s="38"/>
      <c r="U398" s="37">
        <f t="shared" si="103"/>
        <v>1</v>
      </c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43"/>
      <c r="AH398" s="44"/>
      <c r="AI398" s="45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</row>
    <row r="399" spans="1:86">
      <c r="A399" s="33"/>
      <c r="B399" s="1" t="s">
        <v>750</v>
      </c>
      <c r="C399" s="1" t="s">
        <v>750</v>
      </c>
      <c r="D399" s="1" t="s">
        <v>749</v>
      </c>
      <c r="E399" s="38" t="s">
        <v>29</v>
      </c>
      <c r="F399" s="38">
        <v>80</v>
      </c>
      <c r="G399" s="38" t="s">
        <v>115</v>
      </c>
      <c r="H399" s="38">
        <v>45.5</v>
      </c>
      <c r="I399" s="38">
        <v>280</v>
      </c>
      <c r="J399" s="11">
        <f t="shared" si="105"/>
        <v>280</v>
      </c>
      <c r="K399" s="5">
        <f t="shared" si="106"/>
        <v>7692.3076923076924</v>
      </c>
      <c r="L399" s="39">
        <v>1</v>
      </c>
      <c r="M399" s="37">
        <f t="shared" si="99"/>
        <v>1</v>
      </c>
      <c r="N399" s="38"/>
      <c r="O399" s="46"/>
      <c r="P399" s="42">
        <f t="shared" si="101"/>
        <v>280</v>
      </c>
      <c r="Q399" s="38"/>
      <c r="R399" s="38"/>
      <c r="S399" s="38"/>
      <c r="T399" s="38"/>
      <c r="U399" s="37">
        <f t="shared" si="103"/>
        <v>1</v>
      </c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43"/>
      <c r="AH399" s="44"/>
      <c r="AI399" s="45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  <c r="BS399" s="38"/>
      <c r="BT399" s="38"/>
      <c r="BU399" s="38"/>
      <c r="BV399" s="38"/>
      <c r="BW399" s="38"/>
      <c r="BX399" s="38"/>
      <c r="BY399" s="38"/>
      <c r="BZ399" s="38"/>
      <c r="CA399" s="38"/>
      <c r="CB399" s="38"/>
      <c r="CC399" s="38"/>
      <c r="CD399" s="38"/>
      <c r="CE399" s="38"/>
      <c r="CF399" s="38"/>
      <c r="CG399" s="38"/>
      <c r="CH399" s="38"/>
    </row>
    <row r="400" spans="1:86">
      <c r="A400" s="33"/>
      <c r="B400" s="1" t="s">
        <v>751</v>
      </c>
      <c r="C400" s="1" t="s">
        <v>751</v>
      </c>
      <c r="D400" s="1" t="s">
        <v>749</v>
      </c>
      <c r="E400" s="38" t="s">
        <v>29</v>
      </c>
      <c r="F400" s="38">
        <v>80</v>
      </c>
      <c r="G400" s="38" t="s">
        <v>115</v>
      </c>
      <c r="H400" s="38">
        <v>45</v>
      </c>
      <c r="I400" s="38">
        <v>360</v>
      </c>
      <c r="J400" s="11">
        <f t="shared" si="105"/>
        <v>1080</v>
      </c>
      <c r="K400" s="5">
        <f t="shared" si="106"/>
        <v>29999.999999999996</v>
      </c>
      <c r="L400" s="39">
        <v>3</v>
      </c>
      <c r="M400" s="37">
        <f t="shared" si="99"/>
        <v>3</v>
      </c>
      <c r="N400" s="38"/>
      <c r="O400" s="46"/>
      <c r="P400" s="42">
        <f t="shared" si="101"/>
        <v>1080</v>
      </c>
      <c r="Q400" s="38"/>
      <c r="R400" s="38"/>
      <c r="S400" s="38"/>
      <c r="T400" s="38"/>
      <c r="U400" s="37">
        <f t="shared" si="103"/>
        <v>3</v>
      </c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43"/>
      <c r="AH400" s="44"/>
      <c r="AI400" s="45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38"/>
      <c r="CD400" s="38"/>
      <c r="CE400" s="38"/>
      <c r="CF400" s="38"/>
      <c r="CG400" s="38"/>
      <c r="CH400" s="38"/>
    </row>
    <row r="401" spans="1:86">
      <c r="A401" s="33"/>
      <c r="B401" s="1" t="s">
        <v>751</v>
      </c>
      <c r="C401" s="1" t="s">
        <v>751</v>
      </c>
      <c r="D401" s="1" t="s">
        <v>749</v>
      </c>
      <c r="E401" s="38" t="s">
        <v>29</v>
      </c>
      <c r="F401" s="38">
        <v>80</v>
      </c>
      <c r="G401" s="38" t="s">
        <v>115</v>
      </c>
      <c r="H401" s="38">
        <v>45</v>
      </c>
      <c r="I401" s="38">
        <v>167</v>
      </c>
      <c r="J401" s="11">
        <f t="shared" si="105"/>
        <v>167</v>
      </c>
      <c r="K401" s="5">
        <f t="shared" si="106"/>
        <v>4638.8888888888887</v>
      </c>
      <c r="L401" s="39">
        <v>1</v>
      </c>
      <c r="M401" s="37">
        <f t="shared" ref="M401:M454" si="107">+L401-X401-Z401-AD401-AB401-AF401-AH401-AJ401-AL401-AO401-AQ401-AS401-AU401-AW401-AY401-BA401-BC401-BE401-BG401-BI401-BK401-BM401-BO401-BQ401-BS401-BU401-BW401-BY401-CA401-CC401-CE401-CG401</f>
        <v>1</v>
      </c>
      <c r="N401" s="38"/>
      <c r="O401" s="46"/>
      <c r="P401" s="42">
        <f t="shared" si="101"/>
        <v>167</v>
      </c>
      <c r="Q401" s="38"/>
      <c r="R401" s="38"/>
      <c r="S401" s="38"/>
      <c r="T401" s="38"/>
      <c r="U401" s="37">
        <f t="shared" si="103"/>
        <v>1</v>
      </c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43"/>
      <c r="AH401" s="44"/>
      <c r="AI401" s="45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  <c r="BS401" s="38"/>
      <c r="BT401" s="38"/>
      <c r="BU401" s="38"/>
      <c r="BV401" s="38"/>
      <c r="BW401" s="38"/>
      <c r="BX401" s="38"/>
      <c r="BY401" s="38"/>
      <c r="BZ401" s="38"/>
      <c r="CA401" s="38"/>
      <c r="CB401" s="38"/>
      <c r="CC401" s="38"/>
      <c r="CD401" s="38"/>
      <c r="CE401" s="38"/>
      <c r="CF401" s="38"/>
      <c r="CG401" s="38"/>
      <c r="CH401" s="38"/>
    </row>
    <row r="402" spans="1:86">
      <c r="A402" s="33"/>
      <c r="B402" s="1" t="s">
        <v>751</v>
      </c>
      <c r="C402" s="1" t="s">
        <v>751</v>
      </c>
      <c r="D402" s="1" t="s">
        <v>749</v>
      </c>
      <c r="E402" s="38" t="s">
        <v>29</v>
      </c>
      <c r="F402" s="38">
        <v>80</v>
      </c>
      <c r="G402" s="38" t="s">
        <v>115</v>
      </c>
      <c r="H402" s="38">
        <v>45</v>
      </c>
      <c r="I402" s="38">
        <v>141</v>
      </c>
      <c r="J402" s="11">
        <f t="shared" si="105"/>
        <v>141</v>
      </c>
      <c r="K402" s="5">
        <f t="shared" si="106"/>
        <v>3916.6666666666661</v>
      </c>
      <c r="L402" s="39">
        <v>1</v>
      </c>
      <c r="M402" s="37">
        <f t="shared" si="107"/>
        <v>1</v>
      </c>
      <c r="N402" s="38"/>
      <c r="O402" s="46"/>
      <c r="P402" s="42">
        <f t="shared" si="101"/>
        <v>141</v>
      </c>
      <c r="Q402" s="38"/>
      <c r="R402" s="38"/>
      <c r="S402" s="38"/>
      <c r="T402" s="38"/>
      <c r="U402" s="37">
        <f t="shared" si="103"/>
        <v>1</v>
      </c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43"/>
      <c r="AH402" s="44"/>
      <c r="AI402" s="45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  <c r="BT402" s="38"/>
      <c r="BU402" s="38"/>
      <c r="BV402" s="38"/>
      <c r="BW402" s="38"/>
      <c r="BX402" s="38"/>
      <c r="BY402" s="38"/>
      <c r="BZ402" s="38"/>
      <c r="CA402" s="38"/>
      <c r="CB402" s="38"/>
      <c r="CC402" s="38"/>
      <c r="CD402" s="38"/>
      <c r="CE402" s="38"/>
      <c r="CF402" s="38"/>
      <c r="CG402" s="38"/>
      <c r="CH402" s="38"/>
    </row>
    <row r="403" spans="1:86">
      <c r="A403" s="33"/>
      <c r="B403" s="1" t="s">
        <v>751</v>
      </c>
      <c r="C403" s="1" t="s">
        <v>751</v>
      </c>
      <c r="D403" s="1" t="s">
        <v>749</v>
      </c>
      <c r="E403" s="38" t="s">
        <v>29</v>
      </c>
      <c r="F403" s="38">
        <v>80</v>
      </c>
      <c r="G403" s="38" t="s">
        <v>115</v>
      </c>
      <c r="H403" s="38">
        <v>45</v>
      </c>
      <c r="I403" s="38">
        <v>240</v>
      </c>
      <c r="J403" s="11">
        <f t="shared" si="105"/>
        <v>240</v>
      </c>
      <c r="K403" s="5">
        <f t="shared" si="106"/>
        <v>6666.6666666666661</v>
      </c>
      <c r="L403" s="39">
        <v>1</v>
      </c>
      <c r="M403" s="37">
        <f t="shared" si="107"/>
        <v>1</v>
      </c>
      <c r="N403" s="38"/>
      <c r="O403" s="46"/>
      <c r="P403" s="42">
        <f t="shared" si="101"/>
        <v>240</v>
      </c>
      <c r="Q403" s="38"/>
      <c r="R403" s="38"/>
      <c r="S403" s="38"/>
      <c r="T403" s="38"/>
      <c r="U403" s="37">
        <f t="shared" si="103"/>
        <v>1</v>
      </c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43"/>
      <c r="AH403" s="44"/>
      <c r="AI403" s="45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  <c r="CH403" s="38"/>
    </row>
    <row r="404" spans="1:86">
      <c r="A404" s="33"/>
      <c r="B404" s="1" t="s">
        <v>751</v>
      </c>
      <c r="C404" s="1" t="s">
        <v>751</v>
      </c>
      <c r="D404" s="1" t="s">
        <v>749</v>
      </c>
      <c r="E404" s="38" t="s">
        <v>29</v>
      </c>
      <c r="F404" s="38">
        <v>80</v>
      </c>
      <c r="G404" s="38" t="s">
        <v>115</v>
      </c>
      <c r="H404" s="38">
        <v>45</v>
      </c>
      <c r="I404" s="38">
        <v>360</v>
      </c>
      <c r="J404" s="11">
        <f t="shared" si="105"/>
        <v>2520</v>
      </c>
      <c r="K404" s="5">
        <f t="shared" si="106"/>
        <v>69999.999999999985</v>
      </c>
      <c r="L404" s="39">
        <v>7</v>
      </c>
      <c r="M404" s="37">
        <f t="shared" si="107"/>
        <v>7</v>
      </c>
      <c r="N404" s="38"/>
      <c r="O404" s="46"/>
      <c r="P404" s="42">
        <f t="shared" si="101"/>
        <v>2520</v>
      </c>
      <c r="Q404" s="38"/>
      <c r="R404" s="38"/>
      <c r="S404" s="38"/>
      <c r="T404" s="38"/>
      <c r="U404" s="37">
        <f t="shared" si="103"/>
        <v>7</v>
      </c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43"/>
      <c r="AH404" s="44"/>
      <c r="AI404" s="45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38"/>
      <c r="CC404" s="38"/>
      <c r="CD404" s="38"/>
      <c r="CE404" s="38"/>
      <c r="CF404" s="38"/>
      <c r="CG404" s="38"/>
      <c r="CH404" s="38"/>
    </row>
    <row r="405" spans="1:86">
      <c r="A405" s="33"/>
      <c r="B405" s="1" t="s">
        <v>752</v>
      </c>
      <c r="C405" s="1" t="s">
        <v>752</v>
      </c>
      <c r="D405" s="1" t="s">
        <v>749</v>
      </c>
      <c r="E405" s="38" t="s">
        <v>262</v>
      </c>
      <c r="F405" s="38">
        <v>35</v>
      </c>
      <c r="G405" s="38" t="s">
        <v>263</v>
      </c>
      <c r="H405" s="38">
        <v>95</v>
      </c>
      <c r="I405" s="38">
        <v>396</v>
      </c>
      <c r="J405" s="11">
        <f t="shared" si="105"/>
        <v>1188</v>
      </c>
      <c r="K405" s="5">
        <f t="shared" si="106"/>
        <v>35729.323308270672</v>
      </c>
      <c r="L405" s="39">
        <v>3</v>
      </c>
      <c r="M405" s="37">
        <f t="shared" si="107"/>
        <v>3</v>
      </c>
      <c r="N405" s="38"/>
      <c r="O405" s="46"/>
      <c r="P405" s="42">
        <f t="shared" si="101"/>
        <v>1188</v>
      </c>
      <c r="Q405" s="38"/>
      <c r="R405" s="38"/>
      <c r="S405" s="38"/>
      <c r="T405" s="38"/>
      <c r="U405" s="37">
        <f t="shared" si="103"/>
        <v>3</v>
      </c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43"/>
      <c r="AH405" s="44"/>
      <c r="AI405" s="45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38"/>
      <c r="CC405" s="38"/>
      <c r="CD405" s="38"/>
      <c r="CE405" s="38"/>
      <c r="CF405" s="38"/>
      <c r="CG405" s="38"/>
      <c r="CH405" s="38"/>
    </row>
    <row r="406" spans="1:86">
      <c r="A406" s="33"/>
      <c r="B406" s="1" t="s">
        <v>752</v>
      </c>
      <c r="C406" s="1" t="s">
        <v>752</v>
      </c>
      <c r="D406" s="1" t="s">
        <v>749</v>
      </c>
      <c r="E406" s="38" t="s">
        <v>262</v>
      </c>
      <c r="F406" s="38">
        <v>35</v>
      </c>
      <c r="G406" s="38" t="s">
        <v>263</v>
      </c>
      <c r="H406" s="38">
        <v>95</v>
      </c>
      <c r="I406" s="38">
        <v>330</v>
      </c>
      <c r="J406" s="11">
        <f t="shared" si="105"/>
        <v>660</v>
      </c>
      <c r="K406" s="5">
        <f t="shared" si="106"/>
        <v>19849.624060150374</v>
      </c>
      <c r="L406" s="39">
        <v>2</v>
      </c>
      <c r="M406" s="37">
        <f t="shared" si="107"/>
        <v>2</v>
      </c>
      <c r="N406" s="38"/>
      <c r="O406" s="46"/>
      <c r="P406" s="42">
        <f t="shared" si="101"/>
        <v>660</v>
      </c>
      <c r="Q406" s="38"/>
      <c r="R406" s="38"/>
      <c r="S406" s="38"/>
      <c r="T406" s="38"/>
      <c r="U406" s="37">
        <f t="shared" si="103"/>
        <v>2</v>
      </c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43"/>
      <c r="AH406" s="44"/>
      <c r="AI406" s="45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38"/>
      <c r="CC406" s="38"/>
      <c r="CD406" s="38"/>
      <c r="CE406" s="38"/>
      <c r="CF406" s="38"/>
      <c r="CG406" s="38"/>
      <c r="CH406" s="38"/>
    </row>
    <row r="407" spans="1:86">
      <c r="A407" s="33"/>
      <c r="B407" s="1" t="s">
        <v>752</v>
      </c>
      <c r="C407" s="1" t="s">
        <v>752</v>
      </c>
      <c r="D407" s="1" t="s">
        <v>749</v>
      </c>
      <c r="E407" s="38" t="s">
        <v>262</v>
      </c>
      <c r="F407" s="38">
        <v>35</v>
      </c>
      <c r="G407" s="38" t="s">
        <v>263</v>
      </c>
      <c r="H407" s="38">
        <v>95</v>
      </c>
      <c r="I407" s="38">
        <v>264</v>
      </c>
      <c r="J407" s="11">
        <f t="shared" si="105"/>
        <v>264</v>
      </c>
      <c r="K407" s="5">
        <f t="shared" si="106"/>
        <v>7939.8496240601498</v>
      </c>
      <c r="L407" s="39">
        <v>1</v>
      </c>
      <c r="M407" s="37">
        <f t="shared" si="107"/>
        <v>1</v>
      </c>
      <c r="N407" s="38"/>
      <c r="O407" s="46"/>
      <c r="P407" s="42">
        <f t="shared" si="101"/>
        <v>264</v>
      </c>
      <c r="Q407" s="38"/>
      <c r="R407" s="38"/>
      <c r="S407" s="38"/>
      <c r="T407" s="38"/>
      <c r="U407" s="37">
        <f t="shared" si="103"/>
        <v>1</v>
      </c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43"/>
      <c r="AH407" s="44"/>
      <c r="AI407" s="45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38"/>
      <c r="CD407" s="38"/>
      <c r="CE407" s="38"/>
      <c r="CF407" s="38"/>
      <c r="CG407" s="38"/>
      <c r="CH407" s="38"/>
    </row>
    <row r="408" spans="1:86">
      <c r="A408" s="33"/>
      <c r="B408" s="1" t="s">
        <v>752</v>
      </c>
      <c r="C408" s="1" t="s">
        <v>752</v>
      </c>
      <c r="D408" s="1" t="s">
        <v>749</v>
      </c>
      <c r="E408" s="38" t="s">
        <v>262</v>
      </c>
      <c r="F408" s="38">
        <v>35</v>
      </c>
      <c r="G408" s="38" t="s">
        <v>263</v>
      </c>
      <c r="H408" s="38">
        <v>95</v>
      </c>
      <c r="I408" s="38">
        <v>248</v>
      </c>
      <c r="J408" s="11">
        <f t="shared" si="105"/>
        <v>992</v>
      </c>
      <c r="K408" s="5">
        <f t="shared" si="106"/>
        <v>29834.586466165412</v>
      </c>
      <c r="L408" s="39">
        <v>4</v>
      </c>
      <c r="M408" s="37">
        <f t="shared" si="107"/>
        <v>4</v>
      </c>
      <c r="N408" s="38"/>
      <c r="O408" s="46"/>
      <c r="P408" s="42">
        <f t="shared" si="101"/>
        <v>992</v>
      </c>
      <c r="Q408" s="38"/>
      <c r="R408" s="38"/>
      <c r="S408" s="38"/>
      <c r="T408" s="38"/>
      <c r="U408" s="37">
        <f t="shared" si="103"/>
        <v>4</v>
      </c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43"/>
      <c r="AH408" s="44"/>
      <c r="AI408" s="45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  <c r="CH408" s="38"/>
    </row>
    <row r="409" spans="1:86">
      <c r="A409" s="33"/>
      <c r="B409" s="1" t="s">
        <v>753</v>
      </c>
      <c r="C409" s="1" t="s">
        <v>753</v>
      </c>
      <c r="D409" s="1" t="s">
        <v>749</v>
      </c>
      <c r="E409" s="38" t="s">
        <v>262</v>
      </c>
      <c r="F409" s="38">
        <v>35</v>
      </c>
      <c r="G409" s="38" t="s">
        <v>263</v>
      </c>
      <c r="H409" s="38">
        <v>63.5</v>
      </c>
      <c r="I409" s="38">
        <v>264</v>
      </c>
      <c r="J409" s="11">
        <f t="shared" si="105"/>
        <v>1056</v>
      </c>
      <c r="K409" s="5">
        <f t="shared" si="106"/>
        <v>47514.060742407193</v>
      </c>
      <c r="L409" s="39">
        <v>4</v>
      </c>
      <c r="M409" s="37">
        <f t="shared" si="107"/>
        <v>4</v>
      </c>
      <c r="N409" s="38"/>
      <c r="O409" s="46"/>
      <c r="P409" s="42">
        <f t="shared" si="101"/>
        <v>1056</v>
      </c>
      <c r="Q409" s="38"/>
      <c r="R409" s="38"/>
      <c r="S409" s="38"/>
      <c r="T409" s="38"/>
      <c r="U409" s="37">
        <f t="shared" si="103"/>
        <v>4</v>
      </c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43"/>
      <c r="AH409" s="44"/>
      <c r="AI409" s="45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</row>
    <row r="410" spans="1:86">
      <c r="A410" s="33"/>
      <c r="B410" s="1" t="s">
        <v>268</v>
      </c>
      <c r="C410" s="1" t="s">
        <v>268</v>
      </c>
      <c r="D410" s="1" t="s">
        <v>749</v>
      </c>
      <c r="E410" s="38" t="s">
        <v>258</v>
      </c>
      <c r="F410" s="38">
        <v>155</v>
      </c>
      <c r="G410" s="38" t="s">
        <v>259</v>
      </c>
      <c r="H410" s="38">
        <v>170</v>
      </c>
      <c r="I410" s="38">
        <v>1910</v>
      </c>
      <c r="J410" s="11">
        <f t="shared" si="105"/>
        <v>1910</v>
      </c>
      <c r="K410" s="5">
        <f t="shared" si="106"/>
        <v>7248.5768500948761</v>
      </c>
      <c r="L410" s="39">
        <v>1</v>
      </c>
      <c r="M410" s="37">
        <f t="shared" si="107"/>
        <v>1</v>
      </c>
      <c r="N410" s="38"/>
      <c r="O410" s="46"/>
      <c r="P410" s="42">
        <f t="shared" si="101"/>
        <v>1910</v>
      </c>
      <c r="Q410" s="38"/>
      <c r="R410" s="38"/>
      <c r="S410" s="38"/>
      <c r="T410" s="38"/>
      <c r="U410" s="37">
        <f t="shared" si="103"/>
        <v>1</v>
      </c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43"/>
      <c r="AH410" s="44"/>
      <c r="AI410" s="45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  <c r="CH410" s="38"/>
    </row>
    <row r="411" spans="1:86">
      <c r="A411" s="33"/>
      <c r="B411" s="1" t="s">
        <v>279</v>
      </c>
      <c r="C411" s="1" t="s">
        <v>279</v>
      </c>
      <c r="D411" s="1" t="s">
        <v>749</v>
      </c>
      <c r="E411" s="38" t="s">
        <v>262</v>
      </c>
      <c r="F411" s="38">
        <v>45</v>
      </c>
      <c r="G411" s="38" t="s">
        <v>263</v>
      </c>
      <c r="H411" s="38">
        <v>100</v>
      </c>
      <c r="I411" s="38">
        <v>450</v>
      </c>
      <c r="J411" s="11">
        <f t="shared" si="105"/>
        <v>450</v>
      </c>
      <c r="K411" s="5">
        <f t="shared" si="106"/>
        <v>9999.9999999999982</v>
      </c>
      <c r="L411" s="39">
        <v>1</v>
      </c>
      <c r="M411" s="37">
        <f t="shared" si="107"/>
        <v>1</v>
      </c>
      <c r="N411" s="38"/>
      <c r="O411" s="46"/>
      <c r="P411" s="42">
        <f t="shared" ref="P411:P451" si="108">+J411-O411</f>
        <v>450</v>
      </c>
      <c r="Q411" s="38"/>
      <c r="R411" s="38"/>
      <c r="S411" s="38"/>
      <c r="T411" s="38"/>
      <c r="U411" s="37">
        <f t="shared" si="103"/>
        <v>1</v>
      </c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43"/>
      <c r="AH411" s="44"/>
      <c r="AI411" s="45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38"/>
      <c r="CC411" s="38"/>
      <c r="CD411" s="38"/>
      <c r="CE411" s="38"/>
      <c r="CF411" s="38"/>
      <c r="CG411" s="38"/>
      <c r="CH411" s="38"/>
    </row>
    <row r="412" spans="1:86">
      <c r="A412" s="33"/>
      <c r="B412" s="1" t="s">
        <v>754</v>
      </c>
      <c r="C412" s="1" t="s">
        <v>754</v>
      </c>
      <c r="D412" s="1" t="s">
        <v>749</v>
      </c>
      <c r="E412" s="38" t="s">
        <v>262</v>
      </c>
      <c r="F412" s="38">
        <v>45</v>
      </c>
      <c r="G412" s="38" t="s">
        <v>263</v>
      </c>
      <c r="H412" s="38">
        <v>95</v>
      </c>
      <c r="I412" s="38">
        <v>340</v>
      </c>
      <c r="J412" s="11">
        <f t="shared" si="105"/>
        <v>680</v>
      </c>
      <c r="K412" s="5">
        <f t="shared" si="106"/>
        <v>15906.432748538011</v>
      </c>
      <c r="L412" s="39">
        <v>2</v>
      </c>
      <c r="M412" s="37">
        <f t="shared" si="107"/>
        <v>2</v>
      </c>
      <c r="N412" s="38"/>
      <c r="O412" s="46"/>
      <c r="P412" s="42">
        <f t="shared" si="108"/>
        <v>680</v>
      </c>
      <c r="Q412" s="38"/>
      <c r="R412" s="38"/>
      <c r="S412" s="38"/>
      <c r="T412" s="38"/>
      <c r="U412" s="37">
        <f t="shared" si="103"/>
        <v>2</v>
      </c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43"/>
      <c r="AH412" s="44"/>
      <c r="AI412" s="45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38"/>
      <c r="CC412" s="38"/>
      <c r="CD412" s="38"/>
      <c r="CE412" s="38"/>
      <c r="CF412" s="38"/>
      <c r="CG412" s="38"/>
      <c r="CH412" s="38"/>
    </row>
    <row r="413" spans="1:86">
      <c r="A413" s="33"/>
      <c r="B413" s="1" t="s">
        <v>755</v>
      </c>
      <c r="C413" s="1" t="s">
        <v>755</v>
      </c>
      <c r="D413" s="1" t="s">
        <v>749</v>
      </c>
      <c r="E413" s="38" t="s">
        <v>258</v>
      </c>
      <c r="F413" s="38">
        <v>165</v>
      </c>
      <c r="G413" s="38" t="s">
        <v>259</v>
      </c>
      <c r="H413" s="38">
        <v>170</v>
      </c>
      <c r="I413" s="38">
        <v>1380</v>
      </c>
      <c r="J413" s="11">
        <f t="shared" si="105"/>
        <v>1380</v>
      </c>
      <c r="K413" s="5">
        <f t="shared" si="106"/>
        <v>4919.7860962566838</v>
      </c>
      <c r="L413" s="39">
        <v>1</v>
      </c>
      <c r="M413" s="37">
        <f t="shared" si="107"/>
        <v>1</v>
      </c>
      <c r="N413" s="38"/>
      <c r="O413" s="46"/>
      <c r="P413" s="42">
        <f t="shared" si="108"/>
        <v>1380</v>
      </c>
      <c r="Q413" s="38"/>
      <c r="R413" s="38"/>
      <c r="S413" s="38"/>
      <c r="T413" s="38"/>
      <c r="U413" s="37">
        <f t="shared" ref="U413:U463" si="109">+L413-X413-Z413-AD413-AB413-AF413-AH413-AJ413-AL413-AO413-AQ413-AS413-AU413-AW413-AY413-BA413-BC413-BE413-BG413-BI413-BK413-BM413-BO413-BQ413-BS413-BU413-BW413-BY413-CA413-CC413-CE413-CG413</f>
        <v>1</v>
      </c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43"/>
      <c r="AH413" s="44"/>
      <c r="AI413" s="45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</row>
    <row r="414" spans="1:86">
      <c r="A414" s="33"/>
      <c r="B414" s="1" t="s">
        <v>756</v>
      </c>
      <c r="C414" s="1" t="s">
        <v>756</v>
      </c>
      <c r="D414" s="1" t="s">
        <v>749</v>
      </c>
      <c r="E414" s="38" t="s">
        <v>258</v>
      </c>
      <c r="F414" s="38">
        <v>150</v>
      </c>
      <c r="G414" s="38" t="s">
        <v>259</v>
      </c>
      <c r="H414" s="38">
        <v>136.5</v>
      </c>
      <c r="I414" s="38">
        <v>1365</v>
      </c>
      <c r="J414" s="11">
        <f t="shared" si="105"/>
        <v>1365</v>
      </c>
      <c r="K414" s="5">
        <f t="shared" si="106"/>
        <v>6666.6666666666661</v>
      </c>
      <c r="L414" s="39">
        <v>1</v>
      </c>
      <c r="M414" s="37">
        <f t="shared" si="107"/>
        <v>1</v>
      </c>
      <c r="N414" s="38"/>
      <c r="O414" s="46"/>
      <c r="P414" s="42">
        <f t="shared" si="108"/>
        <v>1365</v>
      </c>
      <c r="Q414" s="38"/>
      <c r="R414" s="38"/>
      <c r="S414" s="38"/>
      <c r="T414" s="38"/>
      <c r="U414" s="37">
        <f t="shared" si="109"/>
        <v>1</v>
      </c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43"/>
      <c r="AH414" s="44"/>
      <c r="AI414" s="45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38"/>
      <c r="CC414" s="38"/>
      <c r="CD414" s="38"/>
      <c r="CE414" s="38"/>
      <c r="CF414" s="38"/>
      <c r="CG414" s="38"/>
      <c r="CH414" s="38"/>
    </row>
    <row r="415" spans="1:86">
      <c r="A415" s="33"/>
      <c r="B415" s="1" t="s">
        <v>265</v>
      </c>
      <c r="C415" s="1" t="s">
        <v>265</v>
      </c>
      <c r="D415" s="1" t="s">
        <v>749</v>
      </c>
      <c r="E415" s="38" t="s">
        <v>258</v>
      </c>
      <c r="F415" s="38">
        <v>170</v>
      </c>
      <c r="G415" s="38" t="s">
        <v>259</v>
      </c>
      <c r="H415" s="38">
        <v>170</v>
      </c>
      <c r="I415" s="38">
        <v>1680</v>
      </c>
      <c r="J415" s="11">
        <f t="shared" si="105"/>
        <v>1680</v>
      </c>
      <c r="K415" s="5">
        <f t="shared" ref="K415:K419" si="110">+J415/(F415*H415*10^-5)</f>
        <v>5813.1487889273349</v>
      </c>
      <c r="L415" s="39">
        <v>1</v>
      </c>
      <c r="M415" s="37">
        <f t="shared" si="107"/>
        <v>1</v>
      </c>
      <c r="N415" s="38"/>
      <c r="O415" s="46"/>
      <c r="P415" s="42">
        <f t="shared" si="108"/>
        <v>1680</v>
      </c>
      <c r="Q415" s="38"/>
      <c r="R415" s="38"/>
      <c r="S415" s="38"/>
      <c r="T415" s="38"/>
      <c r="U415" s="37">
        <f t="shared" si="109"/>
        <v>1</v>
      </c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43"/>
      <c r="AH415" s="44"/>
      <c r="AI415" s="45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38"/>
      <c r="CD415" s="38"/>
      <c r="CE415" s="38"/>
      <c r="CF415" s="38"/>
      <c r="CG415" s="38"/>
      <c r="CH415" s="38"/>
    </row>
    <row r="416" spans="1:86">
      <c r="A416" s="33"/>
      <c r="B416" s="1" t="s">
        <v>283</v>
      </c>
      <c r="C416" s="1" t="s">
        <v>283</v>
      </c>
      <c r="D416" s="1" t="s">
        <v>749</v>
      </c>
      <c r="E416" s="38" t="s">
        <v>258</v>
      </c>
      <c r="F416" s="38">
        <v>170</v>
      </c>
      <c r="G416" s="38" t="s">
        <v>259</v>
      </c>
      <c r="H416" s="38">
        <v>160</v>
      </c>
      <c r="I416" s="38">
        <v>2050</v>
      </c>
      <c r="J416" s="11">
        <f t="shared" si="105"/>
        <v>2050</v>
      </c>
      <c r="K416" s="5">
        <f t="shared" si="110"/>
        <v>7536.7647058823522</v>
      </c>
      <c r="L416" s="39">
        <v>1</v>
      </c>
      <c r="M416" s="37">
        <f t="shared" si="107"/>
        <v>1</v>
      </c>
      <c r="N416" s="38"/>
      <c r="O416" s="46"/>
      <c r="P416" s="42">
        <f t="shared" si="108"/>
        <v>2050</v>
      </c>
      <c r="Q416" s="38"/>
      <c r="R416" s="38"/>
      <c r="S416" s="38"/>
      <c r="T416" s="38"/>
      <c r="U416" s="37">
        <f t="shared" si="109"/>
        <v>1</v>
      </c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43"/>
      <c r="AH416" s="44"/>
      <c r="AI416" s="45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  <c r="BS416" s="38"/>
      <c r="BT416" s="38"/>
      <c r="BU416" s="38"/>
      <c r="BV416" s="38"/>
      <c r="BW416" s="38"/>
      <c r="BX416" s="38"/>
      <c r="BY416" s="38"/>
      <c r="BZ416" s="38"/>
      <c r="CA416" s="38"/>
      <c r="CB416" s="38"/>
      <c r="CC416" s="38"/>
      <c r="CD416" s="38"/>
      <c r="CE416" s="38"/>
      <c r="CF416" s="38"/>
      <c r="CG416" s="38"/>
      <c r="CH416" s="38"/>
    </row>
    <row r="417" spans="1:86">
      <c r="A417" s="33"/>
      <c r="B417" s="1" t="s">
        <v>278</v>
      </c>
      <c r="C417" s="1" t="s">
        <v>278</v>
      </c>
      <c r="D417" s="1" t="s">
        <v>749</v>
      </c>
      <c r="E417" s="38" t="s">
        <v>258</v>
      </c>
      <c r="F417" s="38">
        <v>150</v>
      </c>
      <c r="G417" s="38" t="s">
        <v>259</v>
      </c>
      <c r="H417" s="38">
        <v>170</v>
      </c>
      <c r="I417" s="38">
        <v>1470</v>
      </c>
      <c r="J417" s="11">
        <f t="shared" si="105"/>
        <v>1470</v>
      </c>
      <c r="K417" s="5">
        <f t="shared" si="110"/>
        <v>5764.7058823529414</v>
      </c>
      <c r="L417" s="39">
        <v>1</v>
      </c>
      <c r="M417" s="37">
        <f t="shared" si="107"/>
        <v>1</v>
      </c>
      <c r="N417" s="38"/>
      <c r="O417" s="46"/>
      <c r="P417" s="42">
        <f t="shared" si="108"/>
        <v>1470</v>
      </c>
      <c r="Q417" s="38"/>
      <c r="R417" s="38"/>
      <c r="S417" s="38"/>
      <c r="T417" s="38"/>
      <c r="U417" s="37">
        <f t="shared" si="109"/>
        <v>1</v>
      </c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43"/>
      <c r="AH417" s="44"/>
      <c r="AI417" s="45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38"/>
      <c r="CC417" s="38"/>
      <c r="CD417" s="38"/>
      <c r="CE417" s="38"/>
      <c r="CF417" s="38"/>
      <c r="CG417" s="38"/>
      <c r="CH417" s="38"/>
    </row>
    <row r="418" spans="1:86">
      <c r="A418" s="33"/>
      <c r="B418" s="1" t="s">
        <v>274</v>
      </c>
      <c r="C418" s="1" t="s">
        <v>274</v>
      </c>
      <c r="D418" s="1" t="s">
        <v>749</v>
      </c>
      <c r="E418" s="38" t="s">
        <v>258</v>
      </c>
      <c r="F418" s="38">
        <v>170</v>
      </c>
      <c r="G418" s="38" t="s">
        <v>259</v>
      </c>
      <c r="H418" s="38">
        <v>150</v>
      </c>
      <c r="I418" s="38">
        <v>1860</v>
      </c>
      <c r="J418" s="11">
        <f t="shared" si="105"/>
        <v>1860</v>
      </c>
      <c r="K418" s="5">
        <f t="shared" si="110"/>
        <v>7294.1176470588234</v>
      </c>
      <c r="L418" s="39">
        <v>1</v>
      </c>
      <c r="M418" s="37">
        <f t="shared" si="107"/>
        <v>1</v>
      </c>
      <c r="N418" s="38"/>
      <c r="O418" s="46"/>
      <c r="P418" s="42">
        <f t="shared" si="108"/>
        <v>1860</v>
      </c>
      <c r="Q418" s="38"/>
      <c r="R418" s="38"/>
      <c r="S418" s="38"/>
      <c r="T418" s="38"/>
      <c r="U418" s="37">
        <f t="shared" si="109"/>
        <v>1</v>
      </c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43"/>
      <c r="AH418" s="44"/>
      <c r="AI418" s="45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  <c r="CH418" s="38"/>
    </row>
    <row r="419" spans="1:86">
      <c r="A419" s="33"/>
      <c r="B419" s="1" t="s">
        <v>274</v>
      </c>
      <c r="C419" s="1" t="s">
        <v>274</v>
      </c>
      <c r="D419" s="1" t="s">
        <v>749</v>
      </c>
      <c r="E419" s="38" t="s">
        <v>258</v>
      </c>
      <c r="F419" s="38">
        <v>170</v>
      </c>
      <c r="G419" s="38" t="s">
        <v>259</v>
      </c>
      <c r="H419" s="38">
        <v>150</v>
      </c>
      <c r="I419" s="38">
        <v>1850</v>
      </c>
      <c r="J419" s="11">
        <f t="shared" si="105"/>
        <v>1850</v>
      </c>
      <c r="K419" s="5">
        <f t="shared" si="110"/>
        <v>7254.9019607843138</v>
      </c>
      <c r="L419" s="39">
        <v>1</v>
      </c>
      <c r="M419" s="37">
        <f t="shared" si="107"/>
        <v>1</v>
      </c>
      <c r="N419" s="38"/>
      <c r="O419" s="46"/>
      <c r="P419" s="42">
        <f t="shared" si="108"/>
        <v>1850</v>
      </c>
      <c r="Q419" s="38"/>
      <c r="R419" s="38"/>
      <c r="S419" s="38"/>
      <c r="T419" s="38"/>
      <c r="U419" s="37">
        <f t="shared" si="109"/>
        <v>1</v>
      </c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43"/>
      <c r="AH419" s="44"/>
      <c r="AI419" s="45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38"/>
      <c r="CC419" s="38"/>
      <c r="CD419" s="38"/>
      <c r="CE419" s="38"/>
      <c r="CF419" s="38"/>
      <c r="CG419" s="38"/>
      <c r="CH419" s="38"/>
    </row>
    <row r="420" spans="1:86">
      <c r="A420" s="33"/>
      <c r="B420" s="1" t="s">
        <v>274</v>
      </c>
      <c r="C420" s="1" t="s">
        <v>274</v>
      </c>
      <c r="D420" s="1" t="s">
        <v>749</v>
      </c>
      <c r="E420" s="38" t="s">
        <v>258</v>
      </c>
      <c r="F420" s="38">
        <v>170</v>
      </c>
      <c r="G420" s="38" t="s">
        <v>259</v>
      </c>
      <c r="H420" s="38">
        <v>150</v>
      </c>
      <c r="I420" s="38">
        <v>1870</v>
      </c>
      <c r="J420" s="11">
        <f t="shared" si="105"/>
        <v>1870</v>
      </c>
      <c r="K420" s="5">
        <f t="shared" ref="K420:K453" si="111">+J420/(F420*H420*10^-5)</f>
        <v>7333.333333333333</v>
      </c>
      <c r="L420" s="39">
        <v>1</v>
      </c>
      <c r="M420" s="37">
        <f t="shared" si="107"/>
        <v>1</v>
      </c>
      <c r="N420" s="38"/>
      <c r="O420" s="46"/>
      <c r="P420" s="42">
        <f t="shared" si="108"/>
        <v>1870</v>
      </c>
      <c r="Q420" s="38"/>
      <c r="R420" s="38"/>
      <c r="S420" s="38"/>
      <c r="T420" s="38"/>
      <c r="U420" s="37">
        <f t="shared" si="109"/>
        <v>1</v>
      </c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43"/>
      <c r="AH420" s="44"/>
      <c r="AI420" s="45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38"/>
      <c r="CC420" s="38"/>
      <c r="CD420" s="38"/>
      <c r="CE420" s="38"/>
      <c r="CF420" s="38"/>
      <c r="CG420" s="38"/>
      <c r="CH420" s="38"/>
    </row>
    <row r="421" spans="1:86">
      <c r="A421" s="33"/>
      <c r="B421" s="1" t="s">
        <v>275</v>
      </c>
      <c r="C421" s="1" t="s">
        <v>275</v>
      </c>
      <c r="D421" s="1" t="s">
        <v>749</v>
      </c>
      <c r="E421" s="38" t="s">
        <v>258</v>
      </c>
      <c r="F421" s="38">
        <v>175</v>
      </c>
      <c r="G421" s="38" t="s">
        <v>259</v>
      </c>
      <c r="H421" s="38">
        <v>160</v>
      </c>
      <c r="I421" s="38">
        <v>1920</v>
      </c>
      <c r="J421" s="11">
        <f t="shared" si="105"/>
        <v>1920</v>
      </c>
      <c r="K421" s="5">
        <f t="shared" si="111"/>
        <v>6857.1428571428569</v>
      </c>
      <c r="L421" s="39">
        <v>1</v>
      </c>
      <c r="M421" s="37">
        <f t="shared" si="107"/>
        <v>1</v>
      </c>
      <c r="N421" s="38"/>
      <c r="O421" s="46"/>
      <c r="P421" s="42">
        <f t="shared" si="108"/>
        <v>1920</v>
      </c>
      <c r="Q421" s="38"/>
      <c r="R421" s="38"/>
      <c r="S421" s="38"/>
      <c r="T421" s="38"/>
      <c r="U421" s="37">
        <f t="shared" si="109"/>
        <v>1</v>
      </c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43"/>
      <c r="AH421" s="44"/>
      <c r="AI421" s="45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  <c r="CH421" s="38"/>
    </row>
    <row r="422" spans="1:86">
      <c r="A422" s="33"/>
      <c r="B422" s="1" t="s">
        <v>266</v>
      </c>
      <c r="C422" s="1" t="s">
        <v>266</v>
      </c>
      <c r="D422" s="1" t="s">
        <v>749</v>
      </c>
      <c r="E422" s="38" t="s">
        <v>262</v>
      </c>
      <c r="F422" s="38">
        <v>35</v>
      </c>
      <c r="G422" s="38" t="s">
        <v>263</v>
      </c>
      <c r="H422" s="38">
        <v>40</v>
      </c>
      <c r="I422" s="38">
        <v>140</v>
      </c>
      <c r="J422" s="11">
        <f t="shared" si="105"/>
        <v>560</v>
      </c>
      <c r="K422" s="5">
        <f t="shared" si="111"/>
        <v>40000</v>
      </c>
      <c r="L422" s="39">
        <v>4</v>
      </c>
      <c r="M422" s="37">
        <f t="shared" si="107"/>
        <v>4</v>
      </c>
      <c r="N422" s="38"/>
      <c r="O422" s="46"/>
      <c r="P422" s="42">
        <f t="shared" si="108"/>
        <v>560</v>
      </c>
      <c r="Q422" s="38"/>
      <c r="R422" s="38"/>
      <c r="S422" s="38"/>
      <c r="T422" s="38"/>
      <c r="U422" s="37">
        <f t="shared" si="109"/>
        <v>4</v>
      </c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43"/>
      <c r="AH422" s="44"/>
      <c r="AI422" s="45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  <c r="CH422" s="38"/>
    </row>
    <row r="423" spans="1:86">
      <c r="A423" s="33"/>
      <c r="B423" s="1" t="s">
        <v>271</v>
      </c>
      <c r="C423" s="1" t="s">
        <v>271</v>
      </c>
      <c r="D423" s="1" t="s">
        <v>749</v>
      </c>
      <c r="E423" s="38" t="s">
        <v>272</v>
      </c>
      <c r="F423" s="38">
        <v>170</v>
      </c>
      <c r="G423" s="38" t="s">
        <v>273</v>
      </c>
      <c r="H423" s="38">
        <v>105</v>
      </c>
      <c r="I423" s="38">
        <v>767</v>
      </c>
      <c r="J423" s="11">
        <f t="shared" si="105"/>
        <v>3835</v>
      </c>
      <c r="K423" s="5">
        <f t="shared" si="111"/>
        <v>21484.593837535012</v>
      </c>
      <c r="L423" s="39">
        <v>5</v>
      </c>
      <c r="M423" s="37">
        <f t="shared" si="107"/>
        <v>5</v>
      </c>
      <c r="N423" s="38"/>
      <c r="O423" s="46"/>
      <c r="P423" s="42">
        <f t="shared" si="108"/>
        <v>3835</v>
      </c>
      <c r="Q423" s="38"/>
      <c r="R423" s="38"/>
      <c r="S423" s="38"/>
      <c r="T423" s="38"/>
      <c r="U423" s="37">
        <f t="shared" si="109"/>
        <v>5</v>
      </c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43"/>
      <c r="AH423" s="44"/>
      <c r="AI423" s="45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</row>
    <row r="424" spans="1:86">
      <c r="A424" s="33"/>
      <c r="B424" s="1" t="s">
        <v>271</v>
      </c>
      <c r="C424" s="1" t="s">
        <v>271</v>
      </c>
      <c r="D424" s="1" t="s">
        <v>749</v>
      </c>
      <c r="E424" s="38" t="s">
        <v>272</v>
      </c>
      <c r="F424" s="38">
        <v>170</v>
      </c>
      <c r="G424" s="38" t="s">
        <v>273</v>
      </c>
      <c r="H424" s="38">
        <v>105</v>
      </c>
      <c r="I424" s="38">
        <v>768</v>
      </c>
      <c r="J424" s="11">
        <f t="shared" si="105"/>
        <v>1536</v>
      </c>
      <c r="K424" s="5">
        <f t="shared" si="111"/>
        <v>8605.0420168067212</v>
      </c>
      <c r="L424" s="39">
        <v>2</v>
      </c>
      <c r="M424" s="37">
        <f t="shared" si="107"/>
        <v>2</v>
      </c>
      <c r="N424" s="38"/>
      <c r="O424" s="46"/>
      <c r="P424" s="42">
        <f t="shared" si="108"/>
        <v>1536</v>
      </c>
      <c r="Q424" s="38" t="s">
        <v>757</v>
      </c>
      <c r="R424" s="38"/>
      <c r="S424" s="38"/>
      <c r="T424" s="38"/>
      <c r="U424" s="37">
        <f t="shared" si="109"/>
        <v>2</v>
      </c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43"/>
      <c r="AH424" s="44"/>
      <c r="AI424" s="45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  <c r="CH424" s="38"/>
    </row>
    <row r="425" spans="1:86">
      <c r="A425" s="33"/>
      <c r="B425" s="1" t="s">
        <v>276</v>
      </c>
      <c r="C425" s="1" t="s">
        <v>276</v>
      </c>
      <c r="D425" s="1" t="s">
        <v>749</v>
      </c>
      <c r="E425" s="38" t="s">
        <v>272</v>
      </c>
      <c r="F425" s="38">
        <v>170</v>
      </c>
      <c r="G425" s="38" t="s">
        <v>273</v>
      </c>
      <c r="H425" s="38">
        <v>100</v>
      </c>
      <c r="I425" s="38">
        <v>731.5</v>
      </c>
      <c r="J425" s="11">
        <f t="shared" si="105"/>
        <v>4389</v>
      </c>
      <c r="K425" s="5">
        <f t="shared" si="111"/>
        <v>25817.647058823528</v>
      </c>
      <c r="L425" s="39">
        <v>6</v>
      </c>
      <c r="M425" s="37">
        <f t="shared" si="107"/>
        <v>6</v>
      </c>
      <c r="N425" s="38"/>
      <c r="O425" s="46"/>
      <c r="P425" s="42">
        <f t="shared" si="108"/>
        <v>4389</v>
      </c>
      <c r="Q425" s="38"/>
      <c r="R425" s="38"/>
      <c r="S425" s="38"/>
      <c r="T425" s="38"/>
      <c r="U425" s="37">
        <f t="shared" si="109"/>
        <v>6</v>
      </c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43"/>
      <c r="AH425" s="44"/>
      <c r="AI425" s="45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  <c r="CH425" s="38"/>
    </row>
    <row r="426" spans="1:86">
      <c r="A426" s="33"/>
      <c r="B426" s="1" t="s">
        <v>276</v>
      </c>
      <c r="C426" s="1" t="s">
        <v>276</v>
      </c>
      <c r="D426" s="1" t="s">
        <v>749</v>
      </c>
      <c r="E426" s="38" t="s">
        <v>272</v>
      </c>
      <c r="F426" s="38">
        <v>170</v>
      </c>
      <c r="G426" s="38" t="s">
        <v>273</v>
      </c>
      <c r="H426" s="38">
        <v>100</v>
      </c>
      <c r="I426" s="38">
        <v>739.6</v>
      </c>
      <c r="J426" s="11">
        <f t="shared" si="105"/>
        <v>5177.2</v>
      </c>
      <c r="K426" s="5">
        <f t="shared" si="111"/>
        <v>30454.117647058822</v>
      </c>
      <c r="L426" s="39">
        <v>7</v>
      </c>
      <c r="M426" s="37">
        <f t="shared" si="107"/>
        <v>7</v>
      </c>
      <c r="N426" s="38"/>
      <c r="O426" s="46"/>
      <c r="P426" s="42">
        <f t="shared" si="108"/>
        <v>5177.2</v>
      </c>
      <c r="Q426" s="38"/>
      <c r="R426" s="38"/>
      <c r="S426" s="38"/>
      <c r="T426" s="38"/>
      <c r="U426" s="37">
        <f t="shared" si="109"/>
        <v>7</v>
      </c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43"/>
      <c r="AH426" s="44"/>
      <c r="AI426" s="45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  <c r="BS426" s="38"/>
      <c r="BT426" s="38"/>
      <c r="BU426" s="38"/>
      <c r="BV426" s="38"/>
      <c r="BW426" s="38"/>
      <c r="BX426" s="38"/>
      <c r="BY426" s="38"/>
      <c r="BZ426" s="38"/>
      <c r="CA426" s="38"/>
      <c r="CB426" s="38"/>
      <c r="CC426" s="38"/>
      <c r="CD426" s="38"/>
      <c r="CE426" s="38"/>
      <c r="CF426" s="38"/>
      <c r="CG426" s="38"/>
      <c r="CH426" s="38"/>
    </row>
    <row r="427" spans="1:86">
      <c r="A427" s="33"/>
      <c r="B427" s="1" t="s">
        <v>283</v>
      </c>
      <c r="C427" s="1" t="s">
        <v>283</v>
      </c>
      <c r="D427" s="1" t="s">
        <v>749</v>
      </c>
      <c r="E427" s="38" t="s">
        <v>258</v>
      </c>
      <c r="F427" s="38">
        <v>170</v>
      </c>
      <c r="G427" s="38" t="s">
        <v>259</v>
      </c>
      <c r="H427" s="38">
        <v>160</v>
      </c>
      <c r="I427" s="38">
        <v>2000</v>
      </c>
      <c r="J427" s="11">
        <f t="shared" si="105"/>
        <v>2000</v>
      </c>
      <c r="K427" s="5">
        <f t="shared" si="111"/>
        <v>7352.9411764705874</v>
      </c>
      <c r="L427" s="39">
        <v>1</v>
      </c>
      <c r="M427" s="37">
        <f t="shared" si="107"/>
        <v>1</v>
      </c>
      <c r="N427" s="38"/>
      <c r="O427" s="46"/>
      <c r="P427" s="42">
        <f t="shared" si="108"/>
        <v>2000</v>
      </c>
      <c r="Q427" s="38"/>
      <c r="R427" s="38"/>
      <c r="S427" s="38"/>
      <c r="T427" s="38"/>
      <c r="U427" s="37">
        <f t="shared" si="109"/>
        <v>1</v>
      </c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43"/>
      <c r="AH427" s="44"/>
      <c r="AI427" s="45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  <c r="BS427" s="38"/>
      <c r="BT427" s="38"/>
      <c r="BU427" s="38"/>
      <c r="BV427" s="38"/>
      <c r="BW427" s="38"/>
      <c r="BX427" s="38"/>
      <c r="BY427" s="38"/>
      <c r="BZ427" s="38"/>
      <c r="CA427" s="38"/>
      <c r="CB427" s="38"/>
      <c r="CC427" s="38"/>
      <c r="CD427" s="38"/>
      <c r="CE427" s="38"/>
      <c r="CF427" s="38"/>
      <c r="CG427" s="38"/>
      <c r="CH427" s="38"/>
    </row>
    <row r="428" spans="1:86">
      <c r="A428" s="33"/>
      <c r="B428" s="1" t="s">
        <v>274</v>
      </c>
      <c r="C428" s="1" t="s">
        <v>274</v>
      </c>
      <c r="D428" s="1" t="s">
        <v>749</v>
      </c>
      <c r="E428" s="38" t="s">
        <v>258</v>
      </c>
      <c r="F428" s="38">
        <v>170</v>
      </c>
      <c r="G428" s="38" t="s">
        <v>259</v>
      </c>
      <c r="H428" s="38">
        <v>150</v>
      </c>
      <c r="I428" s="38">
        <v>1940</v>
      </c>
      <c r="J428" s="11">
        <f t="shared" si="105"/>
        <v>1940</v>
      </c>
      <c r="K428" s="5">
        <f t="shared" si="111"/>
        <v>7607.8431372549021</v>
      </c>
      <c r="L428" s="39">
        <v>1</v>
      </c>
      <c r="M428" s="37">
        <f t="shared" si="107"/>
        <v>1</v>
      </c>
      <c r="N428" s="38"/>
      <c r="O428" s="46"/>
      <c r="P428" s="42">
        <f t="shared" si="108"/>
        <v>1940</v>
      </c>
      <c r="Q428" s="38"/>
      <c r="R428" s="38"/>
      <c r="S428" s="38"/>
      <c r="T428" s="38"/>
      <c r="U428" s="37">
        <f t="shared" si="109"/>
        <v>1</v>
      </c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43"/>
      <c r="AH428" s="44"/>
      <c r="AI428" s="45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  <c r="CH428" s="38"/>
    </row>
    <row r="429" spans="1:86">
      <c r="A429" s="33"/>
      <c r="B429" s="1" t="s">
        <v>283</v>
      </c>
      <c r="C429" s="1" t="s">
        <v>283</v>
      </c>
      <c r="D429" s="1" t="s">
        <v>749</v>
      </c>
      <c r="E429" s="38" t="s">
        <v>258</v>
      </c>
      <c r="F429" s="38">
        <v>170</v>
      </c>
      <c r="G429" s="38" t="s">
        <v>259</v>
      </c>
      <c r="H429" s="38">
        <v>160</v>
      </c>
      <c r="I429" s="38">
        <v>2020</v>
      </c>
      <c r="J429" s="11">
        <f t="shared" si="105"/>
        <v>2020</v>
      </c>
      <c r="K429" s="5">
        <f t="shared" si="111"/>
        <v>7426.4705882352937</v>
      </c>
      <c r="L429" s="39">
        <v>1</v>
      </c>
      <c r="M429" s="37">
        <f t="shared" si="107"/>
        <v>1</v>
      </c>
      <c r="N429" s="38"/>
      <c r="O429" s="46"/>
      <c r="P429" s="42">
        <f t="shared" si="108"/>
        <v>2020</v>
      </c>
      <c r="Q429" s="38"/>
      <c r="R429" s="38"/>
      <c r="S429" s="38"/>
      <c r="T429" s="38"/>
      <c r="U429" s="37">
        <f t="shared" si="109"/>
        <v>1</v>
      </c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43"/>
      <c r="AH429" s="44"/>
      <c r="AI429" s="45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38"/>
      <c r="CD429" s="38"/>
      <c r="CE429" s="38"/>
      <c r="CF429" s="38"/>
      <c r="CG429" s="38"/>
      <c r="CH429" s="38"/>
    </row>
    <row r="430" spans="1:86">
      <c r="A430" s="33"/>
      <c r="B430" s="1" t="s">
        <v>283</v>
      </c>
      <c r="C430" s="1" t="s">
        <v>283</v>
      </c>
      <c r="D430" s="1" t="s">
        <v>749</v>
      </c>
      <c r="E430" s="38" t="s">
        <v>258</v>
      </c>
      <c r="F430" s="38">
        <v>170</v>
      </c>
      <c r="G430" s="38" t="s">
        <v>259</v>
      </c>
      <c r="H430" s="38">
        <v>160</v>
      </c>
      <c r="I430" s="38">
        <v>1990</v>
      </c>
      <c r="J430" s="11">
        <f t="shared" si="105"/>
        <v>1990</v>
      </c>
      <c r="K430" s="5">
        <f t="shared" si="111"/>
        <v>7316.1764705882351</v>
      </c>
      <c r="L430" s="39">
        <v>1</v>
      </c>
      <c r="M430" s="37">
        <f t="shared" si="107"/>
        <v>1</v>
      </c>
      <c r="N430" s="38"/>
      <c r="O430" s="46"/>
      <c r="P430" s="42">
        <f t="shared" si="108"/>
        <v>1990</v>
      </c>
      <c r="Q430" s="38"/>
      <c r="R430" s="38"/>
      <c r="S430" s="38"/>
      <c r="T430" s="38"/>
      <c r="U430" s="37">
        <f t="shared" si="109"/>
        <v>1</v>
      </c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43"/>
      <c r="AH430" s="44"/>
      <c r="AI430" s="45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  <c r="BS430" s="38"/>
      <c r="BT430" s="38"/>
      <c r="BU430" s="38"/>
      <c r="BV430" s="38"/>
      <c r="BW430" s="38"/>
      <c r="BX430" s="38"/>
      <c r="BY430" s="38"/>
      <c r="BZ430" s="38"/>
      <c r="CA430" s="38"/>
      <c r="CB430" s="38"/>
      <c r="CC430" s="38"/>
      <c r="CD430" s="38"/>
      <c r="CE430" s="38"/>
      <c r="CF430" s="38"/>
      <c r="CG430" s="38"/>
      <c r="CH430" s="38"/>
    </row>
    <row r="431" spans="1:86">
      <c r="A431" s="33"/>
      <c r="B431" s="1" t="s">
        <v>755</v>
      </c>
      <c r="C431" s="1" t="s">
        <v>755</v>
      </c>
      <c r="D431" s="1" t="s">
        <v>749</v>
      </c>
      <c r="E431" s="38" t="s">
        <v>258</v>
      </c>
      <c r="F431" s="38">
        <v>165</v>
      </c>
      <c r="G431" s="38" t="s">
        <v>259</v>
      </c>
      <c r="H431" s="38">
        <v>170</v>
      </c>
      <c r="I431" s="38">
        <v>1390</v>
      </c>
      <c r="J431" s="11">
        <f t="shared" si="105"/>
        <v>1390</v>
      </c>
      <c r="K431" s="5">
        <f t="shared" si="111"/>
        <v>4955.4367201426021</v>
      </c>
      <c r="L431" s="39">
        <v>1</v>
      </c>
      <c r="M431" s="37">
        <f t="shared" si="107"/>
        <v>1</v>
      </c>
      <c r="N431" s="38"/>
      <c r="O431" s="46"/>
      <c r="P431" s="42">
        <f t="shared" si="108"/>
        <v>1390</v>
      </c>
      <c r="Q431" s="38"/>
      <c r="R431" s="38"/>
      <c r="S431" s="38"/>
      <c r="T431" s="38"/>
      <c r="U431" s="37">
        <f t="shared" si="109"/>
        <v>1</v>
      </c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43"/>
      <c r="AH431" s="44"/>
      <c r="AI431" s="45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38"/>
      <c r="CC431" s="38"/>
      <c r="CD431" s="38"/>
      <c r="CE431" s="38"/>
      <c r="CF431" s="38"/>
      <c r="CG431" s="38"/>
      <c r="CH431" s="38"/>
    </row>
    <row r="432" spans="1:86">
      <c r="A432" s="33"/>
      <c r="B432" s="1" t="s">
        <v>756</v>
      </c>
      <c r="C432" s="1" t="s">
        <v>756</v>
      </c>
      <c r="D432" s="1" t="s">
        <v>749</v>
      </c>
      <c r="E432" s="38" t="s">
        <v>258</v>
      </c>
      <c r="F432" s="38">
        <v>150</v>
      </c>
      <c r="G432" s="38" t="s">
        <v>259</v>
      </c>
      <c r="H432" s="38">
        <v>136.5</v>
      </c>
      <c r="I432" s="38">
        <v>1190</v>
      </c>
      <c r="J432" s="11">
        <f t="shared" si="105"/>
        <v>1190</v>
      </c>
      <c r="K432" s="5">
        <f t="shared" si="111"/>
        <v>5811.9658119658116</v>
      </c>
      <c r="L432" s="39">
        <v>1</v>
      </c>
      <c r="M432" s="37">
        <f t="shared" si="107"/>
        <v>1</v>
      </c>
      <c r="N432" s="38"/>
      <c r="O432" s="46"/>
      <c r="P432" s="42">
        <f t="shared" si="108"/>
        <v>1190</v>
      </c>
      <c r="Q432" s="38"/>
      <c r="R432" s="38"/>
      <c r="S432" s="38"/>
      <c r="T432" s="38"/>
      <c r="U432" s="37">
        <f t="shared" si="109"/>
        <v>1</v>
      </c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43"/>
      <c r="AH432" s="44"/>
      <c r="AI432" s="45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  <c r="BS432" s="38"/>
      <c r="BT432" s="38"/>
      <c r="BU432" s="38"/>
      <c r="BV432" s="38"/>
      <c r="BW432" s="38"/>
      <c r="BX432" s="38"/>
      <c r="BY432" s="38"/>
      <c r="BZ432" s="38"/>
      <c r="CA432" s="38"/>
      <c r="CB432" s="38"/>
      <c r="CC432" s="38"/>
      <c r="CD432" s="38"/>
      <c r="CE432" s="38"/>
      <c r="CF432" s="38"/>
      <c r="CG432" s="38"/>
      <c r="CH432" s="38"/>
    </row>
    <row r="433" spans="1:86">
      <c r="A433" s="33"/>
      <c r="B433" s="1" t="s">
        <v>283</v>
      </c>
      <c r="C433" s="1" t="s">
        <v>283</v>
      </c>
      <c r="D433" s="1" t="s">
        <v>749</v>
      </c>
      <c r="E433" s="38" t="s">
        <v>258</v>
      </c>
      <c r="F433" s="38">
        <v>170</v>
      </c>
      <c r="G433" s="38" t="s">
        <v>259</v>
      </c>
      <c r="H433" s="38">
        <v>160</v>
      </c>
      <c r="I433" s="38">
        <v>1970</v>
      </c>
      <c r="J433" s="11">
        <f t="shared" si="105"/>
        <v>5910</v>
      </c>
      <c r="K433" s="5">
        <f t="shared" si="111"/>
        <v>21727.941176470587</v>
      </c>
      <c r="L433" s="39">
        <v>3</v>
      </c>
      <c r="M433" s="37">
        <f t="shared" si="107"/>
        <v>3</v>
      </c>
      <c r="N433" s="38"/>
      <c r="O433" s="46"/>
      <c r="P433" s="42">
        <f t="shared" si="108"/>
        <v>5910</v>
      </c>
      <c r="Q433" s="38"/>
      <c r="R433" s="38"/>
      <c r="S433" s="38"/>
      <c r="T433" s="38"/>
      <c r="U433" s="37">
        <f t="shared" si="109"/>
        <v>3</v>
      </c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43"/>
      <c r="AH433" s="44"/>
      <c r="AI433" s="45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</row>
    <row r="434" spans="1:86">
      <c r="A434" s="33"/>
      <c r="B434" s="1" t="s">
        <v>274</v>
      </c>
      <c r="C434" s="1" t="s">
        <v>274</v>
      </c>
      <c r="D434" s="1" t="s">
        <v>749</v>
      </c>
      <c r="E434" s="38" t="s">
        <v>258</v>
      </c>
      <c r="F434" s="38">
        <v>170</v>
      </c>
      <c r="G434" s="38" t="s">
        <v>259</v>
      </c>
      <c r="H434" s="38">
        <v>150</v>
      </c>
      <c r="I434" s="38">
        <v>1870</v>
      </c>
      <c r="J434" s="11">
        <f t="shared" si="105"/>
        <v>1870</v>
      </c>
      <c r="K434" s="5">
        <f t="shared" si="111"/>
        <v>7333.333333333333</v>
      </c>
      <c r="L434" s="39">
        <v>1</v>
      </c>
      <c r="M434" s="37">
        <f t="shared" si="107"/>
        <v>1</v>
      </c>
      <c r="N434" s="38"/>
      <c r="O434" s="46"/>
      <c r="P434" s="42">
        <f t="shared" si="108"/>
        <v>1870</v>
      </c>
      <c r="Q434" s="38"/>
      <c r="R434" s="38"/>
      <c r="S434" s="38"/>
      <c r="T434" s="38"/>
      <c r="U434" s="37">
        <f t="shared" si="109"/>
        <v>1</v>
      </c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43"/>
      <c r="AH434" s="44"/>
      <c r="AI434" s="45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  <c r="CH434" s="38"/>
    </row>
    <row r="435" spans="1:86">
      <c r="A435" s="33"/>
      <c r="B435" s="1" t="s">
        <v>283</v>
      </c>
      <c r="C435" s="1" t="s">
        <v>283</v>
      </c>
      <c r="D435" s="1" t="s">
        <v>749</v>
      </c>
      <c r="E435" s="38" t="s">
        <v>258</v>
      </c>
      <c r="F435" s="38">
        <v>170</v>
      </c>
      <c r="G435" s="38" t="s">
        <v>259</v>
      </c>
      <c r="H435" s="38">
        <v>160</v>
      </c>
      <c r="I435" s="38">
        <v>1770</v>
      </c>
      <c r="J435" s="11">
        <f t="shared" si="105"/>
        <v>1770</v>
      </c>
      <c r="K435" s="5">
        <f t="shared" si="111"/>
        <v>6507.3529411764703</v>
      </c>
      <c r="L435" s="39">
        <v>1</v>
      </c>
      <c r="M435" s="37">
        <f t="shared" si="107"/>
        <v>1</v>
      </c>
      <c r="N435" s="38"/>
      <c r="O435" s="46"/>
      <c r="P435" s="42">
        <f t="shared" si="108"/>
        <v>1770</v>
      </c>
      <c r="Q435" s="38"/>
      <c r="R435" s="38"/>
      <c r="S435" s="38"/>
      <c r="T435" s="38"/>
      <c r="U435" s="37">
        <f t="shared" si="109"/>
        <v>1</v>
      </c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43"/>
      <c r="AH435" s="44"/>
      <c r="AI435" s="45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38"/>
      <c r="CC435" s="38"/>
      <c r="CD435" s="38"/>
      <c r="CE435" s="38"/>
      <c r="CF435" s="38"/>
      <c r="CG435" s="38"/>
      <c r="CH435" s="38"/>
    </row>
    <row r="436" spans="1:86">
      <c r="A436" s="33"/>
      <c r="B436" s="1" t="s">
        <v>758</v>
      </c>
      <c r="C436" s="1" t="s">
        <v>758</v>
      </c>
      <c r="D436" s="1" t="s">
        <v>749</v>
      </c>
      <c r="E436" s="38" t="s">
        <v>258</v>
      </c>
      <c r="F436" s="38">
        <v>135</v>
      </c>
      <c r="G436" s="38" t="s">
        <v>259</v>
      </c>
      <c r="H436" s="38">
        <v>149</v>
      </c>
      <c r="I436" s="38">
        <v>2250</v>
      </c>
      <c r="J436" s="11">
        <f t="shared" si="105"/>
        <v>2250</v>
      </c>
      <c r="K436" s="5">
        <f t="shared" si="111"/>
        <v>11185.682326621923</v>
      </c>
      <c r="L436" s="39">
        <v>1</v>
      </c>
      <c r="M436" s="37">
        <f t="shared" si="107"/>
        <v>1</v>
      </c>
      <c r="N436" s="38"/>
      <c r="O436" s="46"/>
      <c r="P436" s="42">
        <f t="shared" si="108"/>
        <v>2250</v>
      </c>
      <c r="Q436" s="38"/>
      <c r="R436" s="38"/>
      <c r="S436" s="38"/>
      <c r="T436" s="38"/>
      <c r="U436" s="37">
        <f t="shared" si="109"/>
        <v>1</v>
      </c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43"/>
      <c r="AH436" s="44"/>
      <c r="AI436" s="45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38"/>
      <c r="CC436" s="38"/>
      <c r="CD436" s="38"/>
      <c r="CE436" s="38"/>
      <c r="CF436" s="38"/>
      <c r="CG436" s="38"/>
      <c r="CH436" s="38"/>
    </row>
    <row r="437" spans="1:86">
      <c r="A437" s="33"/>
      <c r="B437" s="1" t="s">
        <v>283</v>
      </c>
      <c r="C437" s="1" t="s">
        <v>283</v>
      </c>
      <c r="D437" s="1" t="s">
        <v>749</v>
      </c>
      <c r="E437" s="38" t="s">
        <v>258</v>
      </c>
      <c r="F437" s="38">
        <v>170</v>
      </c>
      <c r="G437" s="38" t="s">
        <v>259</v>
      </c>
      <c r="H437" s="38">
        <v>160</v>
      </c>
      <c r="I437" s="38">
        <v>1800</v>
      </c>
      <c r="J437" s="11">
        <f t="shared" si="105"/>
        <v>1800</v>
      </c>
      <c r="K437" s="5">
        <f t="shared" si="111"/>
        <v>6617.6470588235288</v>
      </c>
      <c r="L437" s="39">
        <v>1</v>
      </c>
      <c r="M437" s="37">
        <f t="shared" si="107"/>
        <v>1</v>
      </c>
      <c r="N437" s="38"/>
      <c r="O437" s="46"/>
      <c r="P437" s="42">
        <f t="shared" si="108"/>
        <v>1800</v>
      </c>
      <c r="Q437" s="38"/>
      <c r="R437" s="38"/>
      <c r="S437" s="38"/>
      <c r="T437" s="38"/>
      <c r="U437" s="37">
        <f t="shared" si="109"/>
        <v>1</v>
      </c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43"/>
      <c r="AH437" s="44"/>
      <c r="AI437" s="45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38"/>
      <c r="CD437" s="38"/>
      <c r="CE437" s="38"/>
      <c r="CF437" s="38"/>
      <c r="CG437" s="38"/>
      <c r="CH437" s="38"/>
    </row>
    <row r="438" spans="1:86">
      <c r="A438" s="33"/>
      <c r="B438" s="1" t="s">
        <v>283</v>
      </c>
      <c r="C438" s="1" t="s">
        <v>283</v>
      </c>
      <c r="D438" s="1" t="s">
        <v>749</v>
      </c>
      <c r="E438" s="38" t="s">
        <v>258</v>
      </c>
      <c r="F438" s="38">
        <v>170</v>
      </c>
      <c r="G438" s="38" t="s">
        <v>259</v>
      </c>
      <c r="H438" s="38">
        <v>160</v>
      </c>
      <c r="I438" s="38">
        <v>2020</v>
      </c>
      <c r="J438" s="11">
        <f t="shared" si="105"/>
        <v>2020</v>
      </c>
      <c r="K438" s="5">
        <f t="shared" si="111"/>
        <v>7426.4705882352937</v>
      </c>
      <c r="L438" s="39">
        <v>1</v>
      </c>
      <c r="M438" s="37">
        <f t="shared" si="107"/>
        <v>1</v>
      </c>
      <c r="N438" s="38"/>
      <c r="O438" s="46"/>
      <c r="P438" s="42">
        <f t="shared" si="108"/>
        <v>2020</v>
      </c>
      <c r="Q438" s="38"/>
      <c r="R438" s="38"/>
      <c r="S438" s="38"/>
      <c r="T438" s="38"/>
      <c r="U438" s="37">
        <f t="shared" si="109"/>
        <v>1</v>
      </c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43"/>
      <c r="AH438" s="44"/>
      <c r="AI438" s="45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  <c r="CH438" s="38"/>
    </row>
    <row r="439" spans="1:86">
      <c r="A439" s="33"/>
      <c r="B439" s="1" t="s">
        <v>274</v>
      </c>
      <c r="C439" s="1" t="s">
        <v>274</v>
      </c>
      <c r="D439" s="1" t="s">
        <v>749</v>
      </c>
      <c r="E439" s="38" t="s">
        <v>258</v>
      </c>
      <c r="F439" s="38">
        <v>170</v>
      </c>
      <c r="G439" s="38" t="s">
        <v>259</v>
      </c>
      <c r="H439" s="38">
        <v>150</v>
      </c>
      <c r="I439" s="38">
        <v>1680</v>
      </c>
      <c r="J439" s="11">
        <f t="shared" si="105"/>
        <v>1680</v>
      </c>
      <c r="K439" s="5">
        <f t="shared" si="111"/>
        <v>6588.2352941176468</v>
      </c>
      <c r="L439" s="39">
        <v>1</v>
      </c>
      <c r="M439" s="37">
        <f t="shared" si="107"/>
        <v>1</v>
      </c>
      <c r="N439" s="38"/>
      <c r="O439" s="46"/>
      <c r="P439" s="42">
        <f t="shared" si="108"/>
        <v>1680</v>
      </c>
      <c r="Q439" s="38"/>
      <c r="R439" s="38"/>
      <c r="S439" s="38"/>
      <c r="T439" s="38"/>
      <c r="U439" s="37">
        <f t="shared" si="109"/>
        <v>1</v>
      </c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43"/>
      <c r="AH439" s="44"/>
      <c r="AI439" s="45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38"/>
      <c r="CC439" s="38"/>
      <c r="CD439" s="38"/>
      <c r="CE439" s="38"/>
      <c r="CF439" s="38"/>
      <c r="CG439" s="38"/>
      <c r="CH439" s="38"/>
    </row>
    <row r="440" spans="1:86">
      <c r="A440" s="33"/>
      <c r="B440" s="1" t="s">
        <v>283</v>
      </c>
      <c r="C440" s="1" t="s">
        <v>283</v>
      </c>
      <c r="D440" s="1" t="s">
        <v>749</v>
      </c>
      <c r="E440" s="38" t="s">
        <v>258</v>
      </c>
      <c r="F440" s="38">
        <v>170</v>
      </c>
      <c r="G440" s="38" t="s">
        <v>259</v>
      </c>
      <c r="H440" s="38">
        <v>160</v>
      </c>
      <c r="I440" s="38">
        <v>1970</v>
      </c>
      <c r="J440" s="11">
        <f t="shared" si="105"/>
        <v>1970</v>
      </c>
      <c r="K440" s="5">
        <f t="shared" si="111"/>
        <v>7242.6470588235288</v>
      </c>
      <c r="L440" s="39">
        <v>1</v>
      </c>
      <c r="M440" s="37">
        <f t="shared" si="107"/>
        <v>1</v>
      </c>
      <c r="N440" s="38"/>
      <c r="O440" s="46"/>
      <c r="P440" s="42">
        <f t="shared" si="108"/>
        <v>1970</v>
      </c>
      <c r="Q440" s="38"/>
      <c r="R440" s="38"/>
      <c r="S440" s="38"/>
      <c r="T440" s="38"/>
      <c r="U440" s="37">
        <f t="shared" si="109"/>
        <v>1</v>
      </c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43"/>
      <c r="AH440" s="44"/>
      <c r="AI440" s="45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38"/>
      <c r="CC440" s="38"/>
      <c r="CD440" s="38"/>
      <c r="CE440" s="38"/>
      <c r="CF440" s="38"/>
      <c r="CG440" s="38"/>
      <c r="CH440" s="38"/>
    </row>
    <row r="441" spans="1:86">
      <c r="A441" s="33"/>
      <c r="B441" s="1" t="s">
        <v>275</v>
      </c>
      <c r="C441" s="1" t="s">
        <v>275</v>
      </c>
      <c r="D441" s="1" t="s">
        <v>749</v>
      </c>
      <c r="E441" s="38" t="s">
        <v>258</v>
      </c>
      <c r="F441" s="38">
        <v>175</v>
      </c>
      <c r="G441" s="38" t="s">
        <v>259</v>
      </c>
      <c r="H441" s="38">
        <v>160</v>
      </c>
      <c r="I441" s="38">
        <v>1970</v>
      </c>
      <c r="J441" s="11">
        <f t="shared" si="105"/>
        <v>1970</v>
      </c>
      <c r="K441" s="5">
        <f t="shared" si="111"/>
        <v>7035.7142857142853</v>
      </c>
      <c r="L441" s="39">
        <v>1</v>
      </c>
      <c r="M441" s="37">
        <f t="shared" si="107"/>
        <v>1</v>
      </c>
      <c r="N441" s="38"/>
      <c r="O441" s="46"/>
      <c r="P441" s="42">
        <f t="shared" si="108"/>
        <v>1970</v>
      </c>
      <c r="Q441" s="38"/>
      <c r="R441" s="38"/>
      <c r="S441" s="38"/>
      <c r="T441" s="38"/>
      <c r="U441" s="37">
        <f t="shared" si="109"/>
        <v>1</v>
      </c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43"/>
      <c r="AH441" s="44"/>
      <c r="AI441" s="45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38"/>
      <c r="CC441" s="38"/>
      <c r="CD441" s="38"/>
      <c r="CE441" s="38"/>
      <c r="CF441" s="38"/>
      <c r="CG441" s="38"/>
      <c r="CH441" s="38"/>
    </row>
    <row r="442" spans="1:86">
      <c r="A442" s="33"/>
      <c r="B442" s="1" t="s">
        <v>283</v>
      </c>
      <c r="C442" s="1" t="s">
        <v>283</v>
      </c>
      <c r="D442" s="1" t="s">
        <v>749</v>
      </c>
      <c r="E442" s="38" t="s">
        <v>258</v>
      </c>
      <c r="F442" s="38">
        <v>170</v>
      </c>
      <c r="G442" s="38" t="s">
        <v>259</v>
      </c>
      <c r="H442" s="38">
        <v>160</v>
      </c>
      <c r="I442" s="38">
        <v>1990</v>
      </c>
      <c r="J442" s="11">
        <f t="shared" si="105"/>
        <v>1990</v>
      </c>
      <c r="K442" s="5">
        <f t="shared" si="111"/>
        <v>7316.1764705882351</v>
      </c>
      <c r="L442" s="39">
        <v>1</v>
      </c>
      <c r="M442" s="37">
        <f t="shared" si="107"/>
        <v>1</v>
      </c>
      <c r="N442" s="38"/>
      <c r="O442" s="46"/>
      <c r="P442" s="42">
        <f t="shared" si="108"/>
        <v>1990</v>
      </c>
      <c r="Q442" s="38"/>
      <c r="R442" s="38"/>
      <c r="S442" s="38"/>
      <c r="T442" s="38"/>
      <c r="U442" s="37">
        <f t="shared" si="109"/>
        <v>1</v>
      </c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43"/>
      <c r="AH442" s="44"/>
      <c r="AI442" s="45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38"/>
      <c r="CC442" s="38"/>
      <c r="CD442" s="38"/>
      <c r="CE442" s="38"/>
      <c r="CF442" s="38"/>
      <c r="CG442" s="38"/>
      <c r="CH442" s="38"/>
    </row>
    <row r="443" spans="1:86">
      <c r="A443" s="33"/>
      <c r="B443" s="1" t="s">
        <v>283</v>
      </c>
      <c r="C443" s="1" t="s">
        <v>283</v>
      </c>
      <c r="D443" s="1" t="s">
        <v>749</v>
      </c>
      <c r="E443" s="38" t="s">
        <v>258</v>
      </c>
      <c r="F443" s="38">
        <v>170</v>
      </c>
      <c r="G443" s="38" t="s">
        <v>259</v>
      </c>
      <c r="H443" s="38">
        <v>160</v>
      </c>
      <c r="I443" s="38">
        <v>2050</v>
      </c>
      <c r="J443" s="11">
        <f t="shared" si="105"/>
        <v>2050</v>
      </c>
      <c r="K443" s="5">
        <f t="shared" si="111"/>
        <v>7536.7647058823522</v>
      </c>
      <c r="L443" s="39">
        <v>1</v>
      </c>
      <c r="M443" s="37">
        <f t="shared" si="107"/>
        <v>1</v>
      </c>
      <c r="N443" s="38"/>
      <c r="O443" s="46"/>
      <c r="P443" s="42">
        <f t="shared" si="108"/>
        <v>2050</v>
      </c>
      <c r="Q443" s="38"/>
      <c r="R443" s="38"/>
      <c r="S443" s="38"/>
      <c r="T443" s="38"/>
      <c r="U443" s="37">
        <f t="shared" si="109"/>
        <v>1</v>
      </c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43"/>
      <c r="AH443" s="44"/>
      <c r="AI443" s="45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  <c r="CH443" s="38"/>
    </row>
    <row r="444" spans="1:86">
      <c r="A444" s="33"/>
      <c r="B444" s="1" t="s">
        <v>283</v>
      </c>
      <c r="C444" s="1" t="s">
        <v>283</v>
      </c>
      <c r="D444" s="1" t="s">
        <v>749</v>
      </c>
      <c r="E444" s="38" t="s">
        <v>258</v>
      </c>
      <c r="F444" s="38">
        <v>170</v>
      </c>
      <c r="G444" s="38" t="s">
        <v>259</v>
      </c>
      <c r="H444" s="38">
        <v>160</v>
      </c>
      <c r="I444" s="38">
        <v>1980</v>
      </c>
      <c r="J444" s="11">
        <f t="shared" ref="J444:J484" si="112">IFERROR(IF(AND(V444=3,U444&gt;0),I444,I444*U444),"Verify")</f>
        <v>3960</v>
      </c>
      <c r="K444" s="5">
        <f t="shared" si="111"/>
        <v>14558.823529411764</v>
      </c>
      <c r="L444" s="39">
        <v>2</v>
      </c>
      <c r="M444" s="37">
        <f t="shared" si="107"/>
        <v>2</v>
      </c>
      <c r="N444" s="38"/>
      <c r="O444" s="46"/>
      <c r="P444" s="42">
        <f t="shared" si="108"/>
        <v>3960</v>
      </c>
      <c r="Q444" s="38"/>
      <c r="R444" s="38"/>
      <c r="S444" s="38"/>
      <c r="T444" s="38"/>
      <c r="U444" s="37">
        <f t="shared" si="109"/>
        <v>2</v>
      </c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43"/>
      <c r="AH444" s="44"/>
      <c r="AI444" s="45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38"/>
      <c r="CD444" s="38"/>
      <c r="CE444" s="38"/>
      <c r="CF444" s="38"/>
      <c r="CG444" s="38"/>
      <c r="CH444" s="38"/>
    </row>
    <row r="445" spans="1:86">
      <c r="A445" s="33"/>
      <c r="B445" s="1" t="s">
        <v>759</v>
      </c>
      <c r="C445" s="1" t="s">
        <v>759</v>
      </c>
      <c r="D445" s="1" t="s">
        <v>749</v>
      </c>
      <c r="E445" s="38" t="s">
        <v>258</v>
      </c>
      <c r="F445" s="38">
        <v>165</v>
      </c>
      <c r="G445" s="38" t="s">
        <v>259</v>
      </c>
      <c r="H445" s="38">
        <v>160</v>
      </c>
      <c r="I445" s="38">
        <v>1960</v>
      </c>
      <c r="J445" s="11">
        <f t="shared" si="112"/>
        <v>1960</v>
      </c>
      <c r="K445" s="5">
        <f t="shared" si="111"/>
        <v>7424.242424242424</v>
      </c>
      <c r="L445" s="39">
        <v>1</v>
      </c>
      <c r="M445" s="37">
        <f t="shared" si="107"/>
        <v>1</v>
      </c>
      <c r="N445" s="38"/>
      <c r="O445" s="46"/>
      <c r="P445" s="42">
        <f t="shared" si="108"/>
        <v>1960</v>
      </c>
      <c r="Q445" s="38"/>
      <c r="R445" s="38"/>
      <c r="S445" s="38"/>
      <c r="T445" s="38"/>
      <c r="U445" s="37">
        <f t="shared" si="109"/>
        <v>1</v>
      </c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43"/>
      <c r="AH445" s="44"/>
      <c r="AI445" s="45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  <c r="CH445" s="38"/>
    </row>
    <row r="446" spans="1:86">
      <c r="A446" s="33"/>
      <c r="B446" s="1" t="s">
        <v>283</v>
      </c>
      <c r="C446" s="1" t="s">
        <v>283</v>
      </c>
      <c r="D446" s="1" t="s">
        <v>749</v>
      </c>
      <c r="E446" s="38" t="s">
        <v>258</v>
      </c>
      <c r="F446" s="38">
        <v>170</v>
      </c>
      <c r="G446" s="38" t="s">
        <v>259</v>
      </c>
      <c r="H446" s="38">
        <v>160</v>
      </c>
      <c r="I446" s="38">
        <v>2000</v>
      </c>
      <c r="J446" s="11">
        <f t="shared" si="112"/>
        <v>2000</v>
      </c>
      <c r="K446" s="5">
        <f t="shared" si="111"/>
        <v>7352.9411764705874</v>
      </c>
      <c r="L446" s="39">
        <v>1</v>
      </c>
      <c r="M446" s="37">
        <f t="shared" si="107"/>
        <v>1</v>
      </c>
      <c r="N446" s="38"/>
      <c r="O446" s="46"/>
      <c r="P446" s="42">
        <f t="shared" si="108"/>
        <v>2000</v>
      </c>
      <c r="Q446" s="38"/>
      <c r="R446" s="38"/>
      <c r="S446" s="38"/>
      <c r="T446" s="38"/>
      <c r="U446" s="37">
        <f t="shared" si="109"/>
        <v>1</v>
      </c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43"/>
      <c r="AH446" s="44"/>
      <c r="AI446" s="45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  <c r="CH446" s="38"/>
    </row>
    <row r="447" spans="1:86">
      <c r="A447" s="33"/>
      <c r="B447" s="1" t="s">
        <v>760</v>
      </c>
      <c r="C447" s="1" t="s">
        <v>760</v>
      </c>
      <c r="D447" s="1" t="s">
        <v>749</v>
      </c>
      <c r="E447" s="38" t="s">
        <v>258</v>
      </c>
      <c r="F447" s="38">
        <v>165</v>
      </c>
      <c r="G447" s="38" t="s">
        <v>259</v>
      </c>
      <c r="H447" s="38">
        <v>150</v>
      </c>
      <c r="I447" s="38">
        <v>1890</v>
      </c>
      <c r="J447" s="11">
        <f t="shared" si="112"/>
        <v>1890</v>
      </c>
      <c r="K447" s="5">
        <f t="shared" si="111"/>
        <v>7636.3636363636351</v>
      </c>
      <c r="L447" s="39">
        <v>1</v>
      </c>
      <c r="M447" s="37">
        <f t="shared" si="107"/>
        <v>1</v>
      </c>
      <c r="N447" s="38"/>
      <c r="O447" s="46"/>
      <c r="P447" s="42">
        <f t="shared" si="108"/>
        <v>1890</v>
      </c>
      <c r="Q447" s="38"/>
      <c r="R447" s="38"/>
      <c r="S447" s="38"/>
      <c r="T447" s="38"/>
      <c r="U447" s="37">
        <f t="shared" si="109"/>
        <v>1</v>
      </c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43"/>
      <c r="AH447" s="44"/>
      <c r="AI447" s="45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  <c r="BS447" s="38"/>
      <c r="BT447" s="38"/>
      <c r="BU447" s="38"/>
      <c r="BV447" s="38"/>
      <c r="BW447" s="38"/>
      <c r="BX447" s="38"/>
      <c r="BY447" s="38"/>
      <c r="BZ447" s="38"/>
      <c r="CA447" s="38"/>
      <c r="CB447" s="38"/>
      <c r="CC447" s="38"/>
      <c r="CD447" s="38"/>
      <c r="CE447" s="38"/>
      <c r="CF447" s="38"/>
      <c r="CG447" s="38"/>
      <c r="CH447" s="38"/>
    </row>
    <row r="448" spans="1:86">
      <c r="A448" s="33"/>
      <c r="B448" s="1" t="s">
        <v>761</v>
      </c>
      <c r="C448" s="1" t="s">
        <v>762</v>
      </c>
      <c r="D448" s="1" t="s">
        <v>749</v>
      </c>
      <c r="E448" s="38" t="s">
        <v>290</v>
      </c>
      <c r="F448" s="38">
        <v>85</v>
      </c>
      <c r="G448" s="38" t="s">
        <v>287</v>
      </c>
      <c r="H448" s="38">
        <v>103</v>
      </c>
      <c r="I448" s="38">
        <v>763</v>
      </c>
      <c r="J448" s="11">
        <f t="shared" si="112"/>
        <v>763</v>
      </c>
      <c r="K448" s="5">
        <f t="shared" si="111"/>
        <v>8715.0199885779548</v>
      </c>
      <c r="L448" s="39">
        <v>1</v>
      </c>
      <c r="M448" s="37">
        <f t="shared" si="107"/>
        <v>1</v>
      </c>
      <c r="N448" s="38"/>
      <c r="O448" s="46"/>
      <c r="P448" s="42"/>
      <c r="Q448" s="38"/>
      <c r="R448" s="38"/>
      <c r="S448" s="38"/>
      <c r="T448" s="38"/>
      <c r="U448" s="37">
        <f t="shared" si="109"/>
        <v>1</v>
      </c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43"/>
      <c r="AH448" s="44"/>
      <c r="AI448" s="45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  <c r="CH448" s="38"/>
    </row>
    <row r="449" spans="1:86">
      <c r="A449" s="33"/>
      <c r="B449" s="1" t="s">
        <v>276</v>
      </c>
      <c r="C449" s="1" t="s">
        <v>276</v>
      </c>
      <c r="D449" s="1" t="s">
        <v>749</v>
      </c>
      <c r="E449" s="38" t="s">
        <v>272</v>
      </c>
      <c r="F449" s="38">
        <v>170</v>
      </c>
      <c r="G449" s="38" t="s">
        <v>273</v>
      </c>
      <c r="H449" s="38">
        <v>100</v>
      </c>
      <c r="I449" s="38">
        <v>730</v>
      </c>
      <c r="J449" s="11">
        <f t="shared" si="112"/>
        <v>2920</v>
      </c>
      <c r="K449" s="5">
        <f t="shared" si="111"/>
        <v>17176.470588235294</v>
      </c>
      <c r="L449" s="39">
        <v>4</v>
      </c>
      <c r="M449" s="37">
        <f t="shared" si="107"/>
        <v>4</v>
      </c>
      <c r="N449" s="38"/>
      <c r="O449" s="46"/>
      <c r="P449" s="42">
        <f t="shared" si="108"/>
        <v>2920</v>
      </c>
      <c r="Q449" s="38"/>
      <c r="R449" s="38"/>
      <c r="S449" s="38"/>
      <c r="T449" s="38"/>
      <c r="U449" s="37">
        <f t="shared" si="109"/>
        <v>4</v>
      </c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43"/>
      <c r="AH449" s="44"/>
      <c r="AI449" s="45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  <c r="CH449" s="38"/>
    </row>
    <row r="450" spans="1:86" ht="43.2">
      <c r="A450" s="33"/>
      <c r="B450" s="1" t="s">
        <v>763</v>
      </c>
      <c r="C450" s="1" t="s">
        <v>763</v>
      </c>
      <c r="D450" s="1" t="s">
        <v>749</v>
      </c>
      <c r="E450" s="38" t="s">
        <v>272</v>
      </c>
      <c r="F450" s="38">
        <v>170</v>
      </c>
      <c r="G450" s="38" t="s">
        <v>273</v>
      </c>
      <c r="H450" s="38">
        <v>75</v>
      </c>
      <c r="I450" s="38">
        <v>548</v>
      </c>
      <c r="J450" s="11">
        <f t="shared" si="112"/>
        <v>4384</v>
      </c>
      <c r="K450" s="5">
        <f t="shared" si="111"/>
        <v>34384.313725490196</v>
      </c>
      <c r="L450" s="39">
        <v>14</v>
      </c>
      <c r="M450" s="37">
        <f t="shared" si="107"/>
        <v>8</v>
      </c>
      <c r="N450" s="38"/>
      <c r="O450" s="46"/>
      <c r="P450" s="42">
        <f t="shared" si="108"/>
        <v>4384</v>
      </c>
      <c r="Q450" s="38" t="s">
        <v>764</v>
      </c>
      <c r="R450" s="38"/>
      <c r="S450" s="38"/>
      <c r="T450" s="38"/>
      <c r="U450" s="37">
        <f t="shared" si="109"/>
        <v>8</v>
      </c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43"/>
      <c r="AH450" s="44"/>
      <c r="AI450" s="45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>
        <v>2</v>
      </c>
      <c r="AX450" s="38"/>
      <c r="AY450" s="38"/>
      <c r="AZ450" s="38"/>
      <c r="BA450" s="38">
        <v>4</v>
      </c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  <c r="CH450" s="38"/>
    </row>
    <row r="451" spans="1:86">
      <c r="A451" s="33"/>
      <c r="B451" s="1" t="s">
        <v>765</v>
      </c>
      <c r="C451" s="1" t="s">
        <v>765</v>
      </c>
      <c r="D451" s="1" t="s">
        <v>749</v>
      </c>
      <c r="E451" s="38" t="s">
        <v>272</v>
      </c>
      <c r="F451" s="38">
        <v>170</v>
      </c>
      <c r="G451" s="38" t="s">
        <v>273</v>
      </c>
      <c r="H451" s="38">
        <v>95</v>
      </c>
      <c r="I451" s="38">
        <v>693</v>
      </c>
      <c r="J451" s="11">
        <f t="shared" si="112"/>
        <v>1386</v>
      </c>
      <c r="K451" s="5">
        <f t="shared" si="111"/>
        <v>8582.0433436532512</v>
      </c>
      <c r="L451" s="39">
        <v>2</v>
      </c>
      <c r="M451" s="37">
        <f t="shared" si="107"/>
        <v>2</v>
      </c>
      <c r="N451" s="38"/>
      <c r="O451" s="46"/>
      <c r="P451" s="42">
        <f t="shared" si="108"/>
        <v>1386</v>
      </c>
      <c r="Q451" s="38"/>
      <c r="R451" s="38"/>
      <c r="S451" s="38"/>
      <c r="T451" s="38"/>
      <c r="U451" s="37">
        <f t="shared" si="109"/>
        <v>2</v>
      </c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43"/>
      <c r="AH451" s="44"/>
      <c r="AI451" s="45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  <c r="CH451" s="38"/>
    </row>
    <row r="452" spans="1:86" ht="43.2">
      <c r="A452" s="33"/>
      <c r="B452" s="1" t="s">
        <v>291</v>
      </c>
      <c r="C452" s="1" t="s">
        <v>292</v>
      </c>
      <c r="D452" s="1" t="s">
        <v>354</v>
      </c>
      <c r="E452" s="38" t="s">
        <v>293</v>
      </c>
      <c r="F452" s="38">
        <v>152</v>
      </c>
      <c r="G452" s="38" t="s">
        <v>294</v>
      </c>
      <c r="H452" s="38">
        <v>155.4</v>
      </c>
      <c r="I452" s="38">
        <v>2361</v>
      </c>
      <c r="J452" s="11">
        <f t="shared" si="112"/>
        <v>2361</v>
      </c>
      <c r="K452" s="5">
        <f t="shared" si="111"/>
        <v>9995.4277585856526</v>
      </c>
      <c r="L452" s="39">
        <v>3</v>
      </c>
      <c r="M452" s="37">
        <f t="shared" si="107"/>
        <v>1</v>
      </c>
      <c r="N452" s="38"/>
      <c r="O452" s="46"/>
      <c r="P452" s="42"/>
      <c r="Q452" s="38"/>
      <c r="R452" s="38"/>
      <c r="S452" s="38"/>
      <c r="T452" s="38"/>
      <c r="U452" s="37">
        <f t="shared" si="109"/>
        <v>1</v>
      </c>
      <c r="V452" s="38"/>
      <c r="W452" s="38"/>
      <c r="X452" s="38"/>
      <c r="Y452" s="38"/>
      <c r="Z452" s="38">
        <v>2</v>
      </c>
      <c r="AA452" s="38"/>
      <c r="AB452" s="38"/>
      <c r="AC452" s="38"/>
      <c r="AD452" s="38"/>
      <c r="AE452" s="38"/>
      <c r="AF452" s="38"/>
      <c r="AG452" s="43"/>
      <c r="AH452" s="44"/>
      <c r="AI452" s="45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  <c r="CH452" s="38"/>
    </row>
    <row r="453" spans="1:86" ht="43.2">
      <c r="A453" s="33"/>
      <c r="B453" s="1" t="s">
        <v>425</v>
      </c>
      <c r="C453" s="1" t="s">
        <v>425</v>
      </c>
      <c r="D453" s="1" t="s">
        <v>749</v>
      </c>
      <c r="E453" s="38" t="s">
        <v>293</v>
      </c>
      <c r="F453" s="38">
        <v>152</v>
      </c>
      <c r="G453" s="38" t="s">
        <v>294</v>
      </c>
      <c r="H453" s="38">
        <v>151.9</v>
      </c>
      <c r="I453" s="38">
        <v>2256.3000000000002</v>
      </c>
      <c r="J453" s="11">
        <f t="shared" si="112"/>
        <v>2256.3000000000002</v>
      </c>
      <c r="K453" s="5">
        <f t="shared" si="111"/>
        <v>9772.2705380963926</v>
      </c>
      <c r="L453" s="39">
        <v>1</v>
      </c>
      <c r="M453" s="37">
        <f t="shared" si="107"/>
        <v>1</v>
      </c>
      <c r="N453" s="38"/>
      <c r="O453" s="46"/>
      <c r="P453" s="42"/>
      <c r="Q453" s="38"/>
      <c r="R453" s="38"/>
      <c r="S453" s="38"/>
      <c r="T453" s="38"/>
      <c r="U453" s="37">
        <f t="shared" si="109"/>
        <v>1</v>
      </c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43"/>
      <c r="AH453" s="44"/>
      <c r="AI453" s="45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  <c r="CH453" s="38"/>
    </row>
    <row r="454" spans="1:86">
      <c r="A454" s="33"/>
      <c r="B454" s="1" t="s">
        <v>766</v>
      </c>
      <c r="C454" s="1" t="s">
        <v>767</v>
      </c>
      <c r="D454" s="1" t="s">
        <v>749</v>
      </c>
      <c r="E454" s="38" t="s">
        <v>768</v>
      </c>
      <c r="F454" s="38">
        <v>120</v>
      </c>
      <c r="G454" s="38" t="s">
        <v>769</v>
      </c>
      <c r="H454" s="38">
        <v>245</v>
      </c>
      <c r="I454" s="38">
        <v>2824</v>
      </c>
      <c r="J454" s="11">
        <f t="shared" si="112"/>
        <v>2824</v>
      </c>
      <c r="K454" s="5">
        <f t="shared" ref="K454:K472" si="113">+J454/(F454*H454*10^-5)</f>
        <v>9605.4421768707471</v>
      </c>
      <c r="L454" s="39">
        <v>1</v>
      </c>
      <c r="M454" s="37">
        <f t="shared" si="107"/>
        <v>1</v>
      </c>
      <c r="N454" s="38"/>
      <c r="O454" s="46"/>
      <c r="P454" s="42"/>
      <c r="Q454" s="38"/>
      <c r="R454" s="38"/>
      <c r="S454" s="38"/>
      <c r="T454" s="38"/>
      <c r="U454" s="37">
        <f t="shared" si="109"/>
        <v>1</v>
      </c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43"/>
      <c r="AH454" s="44"/>
      <c r="AI454" s="45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  <c r="BS454" s="38"/>
      <c r="BT454" s="38"/>
      <c r="BU454" s="38"/>
      <c r="BV454" s="38"/>
      <c r="BW454" s="38"/>
      <c r="BX454" s="38"/>
      <c r="BY454" s="38"/>
      <c r="BZ454" s="38"/>
      <c r="CA454" s="38"/>
      <c r="CB454" s="38"/>
      <c r="CC454" s="38"/>
      <c r="CD454" s="38"/>
      <c r="CE454" s="38"/>
      <c r="CF454" s="38"/>
      <c r="CG454" s="38"/>
      <c r="CH454" s="38"/>
    </row>
    <row r="455" spans="1:86">
      <c r="A455" s="33"/>
      <c r="B455" s="1" t="s">
        <v>770</v>
      </c>
      <c r="C455" s="1" t="s">
        <v>770</v>
      </c>
      <c r="D455" s="1" t="s">
        <v>749</v>
      </c>
      <c r="E455" s="38" t="s">
        <v>258</v>
      </c>
      <c r="F455" s="38">
        <v>190</v>
      </c>
      <c r="G455" s="38" t="s">
        <v>259</v>
      </c>
      <c r="H455" s="38">
        <v>160</v>
      </c>
      <c r="I455" s="38">
        <v>1610</v>
      </c>
      <c r="J455" s="11">
        <f t="shared" si="112"/>
        <v>3220</v>
      </c>
      <c r="K455" s="5">
        <f t="shared" si="113"/>
        <v>10592.105263157893</v>
      </c>
      <c r="L455" s="39">
        <v>2</v>
      </c>
      <c r="M455" s="37">
        <f t="shared" ref="M455:M484" si="114">+L455-X455-Z455-AD455-AB455-AF455-AH455-AJ455-AL455-AO455-AQ455-AS455-AU455-AW455-AY455-BA455-BC455-BE455-BG455-BI455-BK455-BM455-BO455-BQ455-BS455-BU455-BW455-BY455-CA455-CC455-CE455-CG455</f>
        <v>2</v>
      </c>
      <c r="N455" s="38"/>
      <c r="O455" s="46"/>
      <c r="P455" s="42">
        <f>+J455-O455</f>
        <v>3220</v>
      </c>
      <c r="Q455" s="38"/>
      <c r="R455" s="38"/>
      <c r="S455" s="38"/>
      <c r="T455" s="38"/>
      <c r="U455" s="37">
        <f t="shared" si="109"/>
        <v>2</v>
      </c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43"/>
      <c r="AH455" s="44"/>
      <c r="AI455" s="45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  <c r="BS455" s="38"/>
      <c r="BT455" s="38"/>
      <c r="BU455" s="38"/>
      <c r="BV455" s="38"/>
      <c r="BW455" s="38"/>
      <c r="BX455" s="38"/>
      <c r="BY455" s="38"/>
      <c r="BZ455" s="38"/>
      <c r="CA455" s="38"/>
      <c r="CB455" s="38"/>
      <c r="CC455" s="38"/>
      <c r="CD455" s="38"/>
      <c r="CE455" s="38"/>
      <c r="CF455" s="38"/>
      <c r="CG455" s="38"/>
      <c r="CH455" s="38"/>
    </row>
    <row r="456" spans="1:86">
      <c r="A456" s="33"/>
      <c r="B456" s="1" t="s">
        <v>771</v>
      </c>
      <c r="C456" s="1" t="s">
        <v>771</v>
      </c>
      <c r="D456" s="1" t="s">
        <v>749</v>
      </c>
      <c r="E456" s="38" t="s">
        <v>258</v>
      </c>
      <c r="F456" s="38">
        <v>190</v>
      </c>
      <c r="G456" s="38" t="s">
        <v>259</v>
      </c>
      <c r="H456" s="38">
        <v>150</v>
      </c>
      <c r="I456" s="38">
        <v>1520</v>
      </c>
      <c r="J456" s="11">
        <f t="shared" si="112"/>
        <v>3040</v>
      </c>
      <c r="K456" s="5">
        <f t="shared" si="113"/>
        <v>10666.666666666666</v>
      </c>
      <c r="L456" s="39">
        <v>2</v>
      </c>
      <c r="M456" s="37">
        <f t="shared" si="114"/>
        <v>2</v>
      </c>
      <c r="N456" s="38"/>
      <c r="O456" s="46"/>
      <c r="P456" s="42">
        <f>+J456-O456</f>
        <v>3040</v>
      </c>
      <c r="Q456" s="38"/>
      <c r="R456" s="38"/>
      <c r="S456" s="38"/>
      <c r="T456" s="38"/>
      <c r="U456" s="37">
        <f t="shared" si="109"/>
        <v>2</v>
      </c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43"/>
      <c r="AH456" s="44"/>
      <c r="AI456" s="45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  <c r="BS456" s="38"/>
      <c r="BT456" s="38"/>
      <c r="BU456" s="38"/>
      <c r="BV456" s="38"/>
      <c r="BW456" s="38"/>
      <c r="BX456" s="38"/>
      <c r="BY456" s="38"/>
      <c r="BZ456" s="38"/>
      <c r="CA456" s="38"/>
      <c r="CB456" s="38"/>
      <c r="CC456" s="38"/>
      <c r="CD456" s="38"/>
      <c r="CE456" s="38"/>
      <c r="CF456" s="38"/>
      <c r="CG456" s="38"/>
      <c r="CH456" s="38"/>
    </row>
    <row r="457" spans="1:86">
      <c r="A457" s="33"/>
      <c r="B457" s="1" t="s">
        <v>771</v>
      </c>
      <c r="C457" s="1" t="s">
        <v>771</v>
      </c>
      <c r="D457" s="1" t="s">
        <v>749</v>
      </c>
      <c r="E457" s="38" t="s">
        <v>258</v>
      </c>
      <c r="F457" s="38">
        <v>190</v>
      </c>
      <c r="G457" s="38" t="s">
        <v>259</v>
      </c>
      <c r="H457" s="38">
        <v>150</v>
      </c>
      <c r="I457" s="38">
        <v>1510</v>
      </c>
      <c r="J457" s="11">
        <f t="shared" si="112"/>
        <v>1510</v>
      </c>
      <c r="K457" s="5">
        <f t="shared" si="113"/>
        <v>5298.2456140350869</v>
      </c>
      <c r="L457" s="39">
        <v>1</v>
      </c>
      <c r="M457" s="37">
        <f t="shared" si="114"/>
        <v>1</v>
      </c>
      <c r="N457" s="38"/>
      <c r="O457" s="46"/>
      <c r="P457" s="42">
        <f>+J457-O457</f>
        <v>1510</v>
      </c>
      <c r="Q457" s="38"/>
      <c r="R457" s="38"/>
      <c r="S457" s="38"/>
      <c r="T457" s="38"/>
      <c r="U457" s="37">
        <f t="shared" si="109"/>
        <v>1</v>
      </c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43"/>
      <c r="AH457" s="44"/>
      <c r="AI457" s="45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  <c r="BW457" s="38"/>
      <c r="BX457" s="38"/>
      <c r="BY457" s="38"/>
      <c r="BZ457" s="38"/>
      <c r="CA457" s="38"/>
      <c r="CB457" s="38"/>
      <c r="CC457" s="38"/>
      <c r="CD457" s="38"/>
      <c r="CE457" s="38"/>
      <c r="CF457" s="38"/>
      <c r="CG457" s="38"/>
      <c r="CH457" s="38"/>
    </row>
    <row r="458" spans="1:86">
      <c r="A458" s="33"/>
      <c r="B458" s="1" t="s">
        <v>766</v>
      </c>
      <c r="C458" s="1" t="s">
        <v>767</v>
      </c>
      <c r="D458" s="1" t="s">
        <v>749</v>
      </c>
      <c r="E458" s="38" t="s">
        <v>768</v>
      </c>
      <c r="F458" s="38">
        <v>120</v>
      </c>
      <c r="G458" s="38" t="s">
        <v>769</v>
      </c>
      <c r="H458" s="38">
        <v>245</v>
      </c>
      <c r="I458" s="38">
        <v>3400</v>
      </c>
      <c r="J458" s="11">
        <f t="shared" si="112"/>
        <v>3400</v>
      </c>
      <c r="K458" s="5">
        <f t="shared" si="113"/>
        <v>11564.625850340135</v>
      </c>
      <c r="L458" s="39">
        <v>1</v>
      </c>
      <c r="M458" s="37">
        <f t="shared" si="114"/>
        <v>1</v>
      </c>
      <c r="N458" s="38"/>
      <c r="O458" s="46"/>
      <c r="P458" s="42"/>
      <c r="Q458" s="38"/>
      <c r="R458" s="38"/>
      <c r="S458" s="38"/>
      <c r="T458" s="38"/>
      <c r="U458" s="37">
        <f t="shared" si="109"/>
        <v>1</v>
      </c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43"/>
      <c r="AH458" s="44"/>
      <c r="AI458" s="45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  <c r="CH458" s="38"/>
    </row>
    <row r="459" spans="1:86">
      <c r="A459" s="33"/>
      <c r="B459" s="1" t="s">
        <v>766</v>
      </c>
      <c r="C459" s="1" t="s">
        <v>767</v>
      </c>
      <c r="D459" s="1" t="s">
        <v>749</v>
      </c>
      <c r="E459" s="38" t="s">
        <v>768</v>
      </c>
      <c r="F459" s="38">
        <v>120</v>
      </c>
      <c r="G459" s="38" t="s">
        <v>769</v>
      </c>
      <c r="H459" s="38">
        <v>245</v>
      </c>
      <c r="I459" s="38">
        <v>2978</v>
      </c>
      <c r="J459" s="11">
        <f t="shared" si="112"/>
        <v>2978</v>
      </c>
      <c r="K459" s="5">
        <f t="shared" si="113"/>
        <v>10129.25170068027</v>
      </c>
      <c r="L459" s="39">
        <v>1</v>
      </c>
      <c r="M459" s="37">
        <f t="shared" si="114"/>
        <v>1</v>
      </c>
      <c r="N459" s="38"/>
      <c r="O459" s="46"/>
      <c r="P459" s="42"/>
      <c r="Q459" s="38"/>
      <c r="R459" s="38"/>
      <c r="S459" s="38"/>
      <c r="T459" s="38"/>
      <c r="U459" s="37">
        <f t="shared" si="109"/>
        <v>1</v>
      </c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43"/>
      <c r="AH459" s="44"/>
      <c r="AI459" s="45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38"/>
      <c r="CD459" s="38"/>
      <c r="CE459" s="38"/>
      <c r="CF459" s="38"/>
      <c r="CG459" s="38"/>
      <c r="CH459" s="38"/>
    </row>
    <row r="460" spans="1:86">
      <c r="A460" s="33"/>
      <c r="B460" s="1" t="s">
        <v>766</v>
      </c>
      <c r="C460" s="1" t="s">
        <v>767</v>
      </c>
      <c r="D460" s="1" t="s">
        <v>749</v>
      </c>
      <c r="E460" s="38" t="s">
        <v>768</v>
      </c>
      <c r="F460" s="38">
        <v>120</v>
      </c>
      <c r="G460" s="38" t="s">
        <v>769</v>
      </c>
      <c r="H460" s="38">
        <v>245</v>
      </c>
      <c r="I460" s="38">
        <v>2978</v>
      </c>
      <c r="J460" s="11">
        <f t="shared" si="112"/>
        <v>2978</v>
      </c>
      <c r="K460" s="5">
        <f t="shared" si="113"/>
        <v>10129.25170068027</v>
      </c>
      <c r="L460" s="39">
        <v>1</v>
      </c>
      <c r="M460" s="37">
        <f t="shared" si="114"/>
        <v>1</v>
      </c>
      <c r="N460" s="38"/>
      <c r="O460" s="46"/>
      <c r="P460" s="42"/>
      <c r="Q460" s="38"/>
      <c r="R460" s="38"/>
      <c r="S460" s="38"/>
      <c r="T460" s="38"/>
      <c r="U460" s="37">
        <f t="shared" si="109"/>
        <v>1</v>
      </c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43"/>
      <c r="AH460" s="44"/>
      <c r="AI460" s="45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  <c r="BS460" s="38"/>
      <c r="BT460" s="38"/>
      <c r="BU460" s="38"/>
      <c r="BV460" s="38"/>
      <c r="BW460" s="38"/>
      <c r="BX460" s="38"/>
      <c r="BY460" s="38"/>
      <c r="BZ460" s="38"/>
      <c r="CA460" s="38"/>
      <c r="CB460" s="38"/>
      <c r="CC460" s="38"/>
      <c r="CD460" s="38"/>
      <c r="CE460" s="38"/>
      <c r="CF460" s="38"/>
      <c r="CG460" s="38"/>
      <c r="CH460" s="38"/>
    </row>
    <row r="461" spans="1:86">
      <c r="A461" s="33"/>
      <c r="B461" s="1" t="s">
        <v>772</v>
      </c>
      <c r="C461" s="1" t="s">
        <v>772</v>
      </c>
      <c r="D461" s="1" t="s">
        <v>749</v>
      </c>
      <c r="E461" s="38" t="s">
        <v>258</v>
      </c>
      <c r="F461" s="38">
        <v>185</v>
      </c>
      <c r="G461" s="38" t="s">
        <v>259</v>
      </c>
      <c r="H461" s="38">
        <v>160</v>
      </c>
      <c r="I461" s="38">
        <v>1610</v>
      </c>
      <c r="J461" s="11">
        <f t="shared" si="112"/>
        <v>1610</v>
      </c>
      <c r="K461" s="5">
        <f t="shared" si="113"/>
        <v>5439.1891891891883</v>
      </c>
      <c r="L461" s="39">
        <v>1</v>
      </c>
      <c r="M461" s="37">
        <f t="shared" si="114"/>
        <v>1</v>
      </c>
      <c r="N461" s="38"/>
      <c r="O461" s="46"/>
      <c r="P461" s="42">
        <f>+J461-O461</f>
        <v>1610</v>
      </c>
      <c r="Q461" s="38"/>
      <c r="R461" s="38"/>
      <c r="S461" s="38"/>
      <c r="T461" s="38"/>
      <c r="U461" s="37">
        <f t="shared" si="109"/>
        <v>1</v>
      </c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43"/>
      <c r="AH461" s="44"/>
      <c r="AI461" s="45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  <c r="BS461" s="38"/>
      <c r="BT461" s="38"/>
      <c r="BU461" s="38"/>
      <c r="BV461" s="38"/>
      <c r="BW461" s="38"/>
      <c r="BX461" s="38"/>
      <c r="BY461" s="38"/>
      <c r="BZ461" s="38"/>
      <c r="CA461" s="38"/>
      <c r="CB461" s="38"/>
      <c r="CC461" s="38"/>
      <c r="CD461" s="38"/>
      <c r="CE461" s="38"/>
      <c r="CF461" s="38"/>
      <c r="CG461" s="38"/>
      <c r="CH461" s="38"/>
    </row>
    <row r="462" spans="1:86">
      <c r="A462" s="33"/>
      <c r="B462" s="1" t="s">
        <v>772</v>
      </c>
      <c r="C462" s="1" t="s">
        <v>772</v>
      </c>
      <c r="D462" s="1" t="s">
        <v>749</v>
      </c>
      <c r="E462" s="38" t="s">
        <v>258</v>
      </c>
      <c r="F462" s="38">
        <v>185</v>
      </c>
      <c r="G462" s="38" t="s">
        <v>259</v>
      </c>
      <c r="H462" s="38">
        <v>160</v>
      </c>
      <c r="I462" s="38">
        <v>1600</v>
      </c>
      <c r="J462" s="11">
        <f t="shared" si="112"/>
        <v>1600</v>
      </c>
      <c r="K462" s="5">
        <f t="shared" si="113"/>
        <v>5405.405405405405</v>
      </c>
      <c r="L462" s="39">
        <v>1</v>
      </c>
      <c r="M462" s="37">
        <f t="shared" si="114"/>
        <v>1</v>
      </c>
      <c r="N462" s="38"/>
      <c r="O462" s="46"/>
      <c r="P462" s="42">
        <f>+J462-O462</f>
        <v>1600</v>
      </c>
      <c r="Q462" s="38"/>
      <c r="R462" s="38"/>
      <c r="S462" s="38"/>
      <c r="T462" s="38"/>
      <c r="U462" s="37">
        <f t="shared" si="109"/>
        <v>1</v>
      </c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43"/>
      <c r="AH462" s="44"/>
      <c r="AI462" s="45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  <c r="BS462" s="38"/>
      <c r="BT462" s="38"/>
      <c r="BU462" s="38"/>
      <c r="BV462" s="38"/>
      <c r="BW462" s="38"/>
      <c r="BX462" s="38"/>
      <c r="BY462" s="38"/>
      <c r="BZ462" s="38"/>
      <c r="CA462" s="38"/>
      <c r="CB462" s="38"/>
      <c r="CC462" s="38"/>
      <c r="CD462" s="38"/>
      <c r="CE462" s="38"/>
      <c r="CF462" s="38"/>
      <c r="CG462" s="38"/>
      <c r="CH462" s="38"/>
    </row>
    <row r="463" spans="1:86">
      <c r="A463" s="33"/>
      <c r="B463" s="1" t="s">
        <v>773</v>
      </c>
      <c r="C463" s="1" t="s">
        <v>773</v>
      </c>
      <c r="D463" s="1" t="s">
        <v>749</v>
      </c>
      <c r="E463" s="38" t="s">
        <v>258</v>
      </c>
      <c r="F463" s="38">
        <v>200</v>
      </c>
      <c r="G463" s="38" t="s">
        <v>259</v>
      </c>
      <c r="H463" s="38">
        <v>150</v>
      </c>
      <c r="I463" s="38">
        <v>1430</v>
      </c>
      <c r="J463" s="11">
        <f t="shared" si="112"/>
        <v>1430</v>
      </c>
      <c r="K463" s="5">
        <f t="shared" si="113"/>
        <v>4766.6666666666661</v>
      </c>
      <c r="L463" s="39">
        <v>1</v>
      </c>
      <c r="M463" s="37">
        <f t="shared" si="114"/>
        <v>1</v>
      </c>
      <c r="N463" s="38"/>
      <c r="O463" s="46"/>
      <c r="P463" s="42">
        <f>+J463-O463</f>
        <v>1430</v>
      </c>
      <c r="Q463" s="38"/>
      <c r="R463" s="38"/>
      <c r="S463" s="38"/>
      <c r="T463" s="38"/>
      <c r="U463" s="37">
        <f t="shared" si="109"/>
        <v>1</v>
      </c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43"/>
      <c r="AH463" s="44"/>
      <c r="AI463" s="45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  <c r="BW463" s="38"/>
      <c r="BX463" s="38"/>
      <c r="BY463" s="38"/>
      <c r="BZ463" s="38"/>
      <c r="CA463" s="38"/>
      <c r="CB463" s="38"/>
      <c r="CC463" s="38"/>
      <c r="CD463" s="38"/>
      <c r="CE463" s="38"/>
      <c r="CF463" s="38"/>
      <c r="CG463" s="38"/>
      <c r="CH463" s="38"/>
    </row>
    <row r="464" spans="1:86">
      <c r="A464" s="33"/>
      <c r="B464" s="1" t="s">
        <v>774</v>
      </c>
      <c r="C464" s="1" t="s">
        <v>774</v>
      </c>
      <c r="D464" s="1" t="s">
        <v>749</v>
      </c>
      <c r="E464" s="38" t="s">
        <v>258</v>
      </c>
      <c r="F464" s="38">
        <v>200</v>
      </c>
      <c r="G464" s="38" t="s">
        <v>259</v>
      </c>
      <c r="H464" s="38">
        <v>160</v>
      </c>
      <c r="I464" s="38">
        <v>1520</v>
      </c>
      <c r="J464" s="11">
        <f t="shared" si="112"/>
        <v>3040</v>
      </c>
      <c r="K464" s="5">
        <f t="shared" si="113"/>
        <v>9500</v>
      </c>
      <c r="L464" s="39">
        <v>2</v>
      </c>
      <c r="M464" s="37">
        <f t="shared" si="114"/>
        <v>2</v>
      </c>
      <c r="N464" s="38"/>
      <c r="O464" s="46"/>
      <c r="P464" s="42">
        <f>+J464-O464</f>
        <v>3040</v>
      </c>
      <c r="Q464" s="38"/>
      <c r="R464" s="38"/>
      <c r="S464" s="38"/>
      <c r="T464" s="38"/>
      <c r="U464" s="37">
        <f t="shared" ref="U464:U490" si="115">+L464-X464-Z464-AD464-AB464-AF464-AH464-AJ464-AL464-AO464-AQ464-AS464-AU464-AW464-AY464-BA464-BC464-BE464-BG464-BI464-BK464-BM464-BO464-BQ464-BS464-BU464-BW464-BY464-CA464-CC464-CE464-CG464</f>
        <v>2</v>
      </c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43"/>
      <c r="AH464" s="44"/>
      <c r="AI464" s="45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  <c r="BS464" s="38"/>
      <c r="BT464" s="38"/>
      <c r="BU464" s="38"/>
      <c r="BV464" s="38"/>
      <c r="BW464" s="38"/>
      <c r="BX464" s="38"/>
      <c r="BY464" s="38"/>
      <c r="BZ464" s="38"/>
      <c r="CA464" s="38"/>
      <c r="CB464" s="38"/>
      <c r="CC464" s="38"/>
      <c r="CD464" s="38"/>
      <c r="CE464" s="38"/>
      <c r="CF464" s="38"/>
      <c r="CG464" s="38"/>
      <c r="CH464" s="38"/>
    </row>
    <row r="465" spans="1:86">
      <c r="A465" s="33"/>
      <c r="B465" s="1" t="s">
        <v>775</v>
      </c>
      <c r="C465" s="1" t="s">
        <v>775</v>
      </c>
      <c r="D465" s="1" t="s">
        <v>749</v>
      </c>
      <c r="E465" s="38" t="s">
        <v>258</v>
      </c>
      <c r="F465" s="38">
        <v>200</v>
      </c>
      <c r="G465" s="38" t="s">
        <v>259</v>
      </c>
      <c r="H465" s="38">
        <v>170</v>
      </c>
      <c r="I465" s="38">
        <v>1560</v>
      </c>
      <c r="J465" s="11">
        <f t="shared" si="112"/>
        <v>1560</v>
      </c>
      <c r="K465" s="5">
        <f t="shared" si="113"/>
        <v>4588.2352941176468</v>
      </c>
      <c r="L465" s="39">
        <v>1</v>
      </c>
      <c r="M465" s="37">
        <f t="shared" si="114"/>
        <v>1</v>
      </c>
      <c r="N465" s="38"/>
      <c r="O465" s="46"/>
      <c r="P465" s="42">
        <f>+J465-O465</f>
        <v>1560</v>
      </c>
      <c r="Q465" s="38"/>
      <c r="R465" s="38"/>
      <c r="S465" s="38"/>
      <c r="T465" s="38"/>
      <c r="U465" s="37">
        <f t="shared" si="115"/>
        <v>1</v>
      </c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43"/>
      <c r="AH465" s="44"/>
      <c r="AI465" s="45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  <c r="BS465" s="38"/>
      <c r="BT465" s="38"/>
      <c r="BU465" s="38"/>
      <c r="BV465" s="38"/>
      <c r="BW465" s="38"/>
      <c r="BX465" s="38"/>
      <c r="BY465" s="38"/>
      <c r="BZ465" s="38"/>
      <c r="CA465" s="38"/>
      <c r="CB465" s="38"/>
      <c r="CC465" s="38"/>
      <c r="CD465" s="38"/>
      <c r="CE465" s="38"/>
      <c r="CF465" s="38"/>
      <c r="CG465" s="38"/>
      <c r="CH465" s="38"/>
    </row>
    <row r="466" spans="1:86">
      <c r="A466" s="33"/>
      <c r="B466" s="1" t="s">
        <v>776</v>
      </c>
      <c r="C466" s="1" t="s">
        <v>777</v>
      </c>
      <c r="D466" s="1" t="s">
        <v>749</v>
      </c>
      <c r="E466" s="38" t="s">
        <v>768</v>
      </c>
      <c r="F466" s="38">
        <v>120</v>
      </c>
      <c r="G466" s="38" t="s">
        <v>769</v>
      </c>
      <c r="H466" s="38">
        <v>220</v>
      </c>
      <c r="I466" s="38">
        <v>2972</v>
      </c>
      <c r="J466" s="11">
        <f t="shared" si="112"/>
        <v>2972</v>
      </c>
      <c r="K466" s="5">
        <f t="shared" si="113"/>
        <v>11257.575757575756</v>
      </c>
      <c r="L466" s="39">
        <v>1</v>
      </c>
      <c r="M466" s="37">
        <f t="shared" si="114"/>
        <v>1</v>
      </c>
      <c r="N466" s="38"/>
      <c r="O466" s="46"/>
      <c r="P466" s="42"/>
      <c r="Q466" s="38"/>
      <c r="R466" s="38"/>
      <c r="S466" s="38"/>
      <c r="T466" s="38"/>
      <c r="U466" s="37">
        <f t="shared" si="115"/>
        <v>1</v>
      </c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43"/>
      <c r="AH466" s="44"/>
      <c r="AI466" s="45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38"/>
      <c r="CD466" s="38"/>
      <c r="CE466" s="38"/>
      <c r="CF466" s="38"/>
      <c r="CG466" s="38"/>
      <c r="CH466" s="38"/>
    </row>
    <row r="467" spans="1:86">
      <c r="A467" s="33"/>
      <c r="B467" s="1" t="s">
        <v>772</v>
      </c>
      <c r="C467" s="1" t="s">
        <v>772</v>
      </c>
      <c r="D467" s="1" t="s">
        <v>749</v>
      </c>
      <c r="E467" s="38" t="s">
        <v>258</v>
      </c>
      <c r="F467" s="38">
        <v>185</v>
      </c>
      <c r="G467" s="38" t="s">
        <v>259</v>
      </c>
      <c r="H467" s="38">
        <v>160</v>
      </c>
      <c r="I467" s="38">
        <v>1600</v>
      </c>
      <c r="J467" s="11">
        <f t="shared" si="112"/>
        <v>1600</v>
      </c>
      <c r="K467" s="5">
        <f t="shared" si="113"/>
        <v>5405.405405405405</v>
      </c>
      <c r="L467" s="39">
        <v>1</v>
      </c>
      <c r="M467" s="37">
        <f t="shared" si="114"/>
        <v>1</v>
      </c>
      <c r="N467" s="38"/>
      <c r="O467" s="46"/>
      <c r="P467" s="42">
        <f>+J467-O467</f>
        <v>1600</v>
      </c>
      <c r="Q467" s="38"/>
      <c r="R467" s="38"/>
      <c r="S467" s="38"/>
      <c r="T467" s="38"/>
      <c r="U467" s="37">
        <f t="shared" si="115"/>
        <v>1</v>
      </c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43"/>
      <c r="AH467" s="44"/>
      <c r="AI467" s="45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  <c r="BS467" s="38"/>
      <c r="BT467" s="38"/>
      <c r="BU467" s="38"/>
      <c r="BV467" s="38"/>
      <c r="BW467" s="38"/>
      <c r="BX467" s="38"/>
      <c r="BY467" s="38"/>
      <c r="BZ467" s="38"/>
      <c r="CA467" s="38"/>
      <c r="CB467" s="38"/>
      <c r="CC467" s="38"/>
      <c r="CD467" s="38"/>
      <c r="CE467" s="38"/>
      <c r="CF467" s="38"/>
      <c r="CG467" s="38"/>
      <c r="CH467" s="38"/>
    </row>
    <row r="468" spans="1:86">
      <c r="A468" s="33"/>
      <c r="B468" s="1" t="s">
        <v>776</v>
      </c>
      <c r="C468" s="1" t="s">
        <v>777</v>
      </c>
      <c r="D468" s="1" t="s">
        <v>749</v>
      </c>
      <c r="E468" s="38" t="s">
        <v>768</v>
      </c>
      <c r="F468" s="38">
        <v>120</v>
      </c>
      <c r="G468" s="38" t="s">
        <v>769</v>
      </c>
      <c r="H468" s="38">
        <v>220</v>
      </c>
      <c r="I468" s="38">
        <v>2982</v>
      </c>
      <c r="J468" s="11">
        <f t="shared" si="112"/>
        <v>2982</v>
      </c>
      <c r="K468" s="5">
        <f t="shared" si="113"/>
        <v>11295.454545454544</v>
      </c>
      <c r="L468" s="39">
        <v>1</v>
      </c>
      <c r="M468" s="37">
        <f t="shared" si="114"/>
        <v>1</v>
      </c>
      <c r="N468" s="38"/>
      <c r="O468" s="46"/>
      <c r="P468" s="42"/>
      <c r="Q468" s="38"/>
      <c r="R468" s="38"/>
      <c r="S468" s="38"/>
      <c r="T468" s="38"/>
      <c r="U468" s="37">
        <f t="shared" si="115"/>
        <v>1</v>
      </c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43"/>
      <c r="AH468" s="44"/>
      <c r="AI468" s="45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  <c r="BW468" s="38"/>
      <c r="BX468" s="38"/>
      <c r="BY468" s="38"/>
      <c r="BZ468" s="38"/>
      <c r="CA468" s="38"/>
      <c r="CB468" s="38"/>
      <c r="CC468" s="38"/>
      <c r="CD468" s="38"/>
      <c r="CE468" s="38"/>
      <c r="CF468" s="38"/>
      <c r="CG468" s="38"/>
      <c r="CH468" s="38"/>
    </row>
    <row r="469" spans="1:86">
      <c r="A469" s="33"/>
      <c r="B469" s="1" t="s">
        <v>778</v>
      </c>
      <c r="C469" s="1" t="s">
        <v>778</v>
      </c>
      <c r="D469" s="1" t="s">
        <v>749</v>
      </c>
      <c r="E469" s="38" t="s">
        <v>258</v>
      </c>
      <c r="F469" s="38">
        <v>195</v>
      </c>
      <c r="G469" s="38" t="s">
        <v>259</v>
      </c>
      <c r="H469" s="38">
        <v>170</v>
      </c>
      <c r="I469" s="38">
        <v>1510</v>
      </c>
      <c r="J469" s="11">
        <f t="shared" si="112"/>
        <v>1510</v>
      </c>
      <c r="K469" s="5">
        <f t="shared" si="113"/>
        <v>4555.0527903469074</v>
      </c>
      <c r="L469" s="39">
        <v>1</v>
      </c>
      <c r="M469" s="37">
        <f t="shared" si="114"/>
        <v>1</v>
      </c>
      <c r="N469" s="38"/>
      <c r="O469" s="46"/>
      <c r="P469" s="42">
        <f>+J469-O469</f>
        <v>1510</v>
      </c>
      <c r="Q469" s="38"/>
      <c r="R469" s="38"/>
      <c r="S469" s="38"/>
      <c r="T469" s="38"/>
      <c r="U469" s="37">
        <f t="shared" si="115"/>
        <v>1</v>
      </c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43"/>
      <c r="AH469" s="44"/>
      <c r="AI469" s="45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  <c r="BW469" s="38"/>
      <c r="BX469" s="38"/>
      <c r="BY469" s="38"/>
      <c r="BZ469" s="38"/>
      <c r="CA469" s="38"/>
      <c r="CB469" s="38"/>
      <c r="CC469" s="38"/>
      <c r="CD469" s="38"/>
      <c r="CE469" s="38"/>
      <c r="CF469" s="38"/>
      <c r="CG469" s="38"/>
      <c r="CH469" s="38"/>
    </row>
    <row r="470" spans="1:86">
      <c r="A470" s="33"/>
      <c r="B470" s="1" t="s">
        <v>779</v>
      </c>
      <c r="C470" s="1" t="s">
        <v>780</v>
      </c>
      <c r="D470" s="1" t="s">
        <v>749</v>
      </c>
      <c r="E470" s="38" t="s">
        <v>768</v>
      </c>
      <c r="F470" s="38">
        <v>120</v>
      </c>
      <c r="G470" s="38" t="s">
        <v>769</v>
      </c>
      <c r="H470" s="38">
        <v>225</v>
      </c>
      <c r="I470" s="38">
        <v>2938</v>
      </c>
      <c r="J470" s="11">
        <f t="shared" si="112"/>
        <v>2938</v>
      </c>
      <c r="K470" s="5">
        <f t="shared" si="113"/>
        <v>10881.48148148148</v>
      </c>
      <c r="L470" s="39">
        <v>1</v>
      </c>
      <c r="M470" s="37">
        <f t="shared" si="114"/>
        <v>1</v>
      </c>
      <c r="N470" s="38"/>
      <c r="O470" s="46"/>
      <c r="P470" s="42"/>
      <c r="Q470" s="38"/>
      <c r="R470" s="38"/>
      <c r="S470" s="38"/>
      <c r="T470" s="38"/>
      <c r="U470" s="37">
        <f t="shared" si="115"/>
        <v>1</v>
      </c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43"/>
      <c r="AH470" s="44"/>
      <c r="AI470" s="45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  <c r="BW470" s="38"/>
      <c r="BX470" s="38"/>
      <c r="BY470" s="38"/>
      <c r="BZ470" s="38"/>
      <c r="CA470" s="38"/>
      <c r="CB470" s="38"/>
      <c r="CC470" s="38"/>
      <c r="CD470" s="38"/>
      <c r="CE470" s="38"/>
      <c r="CF470" s="38"/>
      <c r="CG470" s="38"/>
      <c r="CH470" s="38"/>
    </row>
    <row r="471" spans="1:86">
      <c r="A471" s="33"/>
      <c r="B471" s="1" t="s">
        <v>775</v>
      </c>
      <c r="C471" s="1" t="s">
        <v>775</v>
      </c>
      <c r="D471" s="1" t="s">
        <v>749</v>
      </c>
      <c r="E471" s="38" t="s">
        <v>258</v>
      </c>
      <c r="F471" s="38">
        <v>200</v>
      </c>
      <c r="G471" s="38" t="s">
        <v>259</v>
      </c>
      <c r="H471" s="38">
        <v>170</v>
      </c>
      <c r="I471" s="38">
        <v>1580</v>
      </c>
      <c r="J471" s="11">
        <f t="shared" si="112"/>
        <v>1580</v>
      </c>
      <c r="K471" s="5">
        <f t="shared" si="113"/>
        <v>4647.0588235294117</v>
      </c>
      <c r="L471" s="39">
        <v>1</v>
      </c>
      <c r="M471" s="37">
        <f t="shared" si="114"/>
        <v>1</v>
      </c>
      <c r="N471" s="38"/>
      <c r="O471" s="46"/>
      <c r="P471" s="42">
        <f>+J471-O471</f>
        <v>1580</v>
      </c>
      <c r="Q471" s="38"/>
      <c r="R471" s="38"/>
      <c r="S471" s="38"/>
      <c r="T471" s="38"/>
      <c r="U471" s="37">
        <f t="shared" si="115"/>
        <v>1</v>
      </c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43"/>
      <c r="AH471" s="44"/>
      <c r="AI471" s="45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  <c r="BS471" s="38"/>
      <c r="BT471" s="38"/>
      <c r="BU471" s="38"/>
      <c r="BV471" s="38"/>
      <c r="BW471" s="38"/>
      <c r="BX471" s="38"/>
      <c r="BY471" s="38"/>
      <c r="BZ471" s="38"/>
      <c r="CA471" s="38"/>
      <c r="CB471" s="38"/>
      <c r="CC471" s="38"/>
      <c r="CD471" s="38"/>
      <c r="CE471" s="38"/>
      <c r="CF471" s="38"/>
      <c r="CG471" s="38"/>
      <c r="CH471" s="38"/>
    </row>
    <row r="472" spans="1:86">
      <c r="A472" s="33"/>
      <c r="B472" s="1" t="s">
        <v>771</v>
      </c>
      <c r="C472" s="1" t="s">
        <v>771</v>
      </c>
      <c r="D472" s="1" t="s">
        <v>749</v>
      </c>
      <c r="E472" s="38" t="s">
        <v>258</v>
      </c>
      <c r="F472" s="38">
        <v>190</v>
      </c>
      <c r="G472" s="38" t="s">
        <v>259</v>
      </c>
      <c r="H472" s="38">
        <v>150</v>
      </c>
      <c r="I472" s="38">
        <v>1510</v>
      </c>
      <c r="J472" s="11">
        <f t="shared" si="112"/>
        <v>1510</v>
      </c>
      <c r="K472" s="5">
        <f t="shared" si="113"/>
        <v>5298.2456140350869</v>
      </c>
      <c r="L472" s="39">
        <v>1</v>
      </c>
      <c r="M472" s="37">
        <f t="shared" si="114"/>
        <v>1</v>
      </c>
      <c r="N472" s="38"/>
      <c r="O472" s="46"/>
      <c r="P472" s="42">
        <f>+J472-O472</f>
        <v>1510</v>
      </c>
      <c r="Q472" s="38"/>
      <c r="R472" s="38"/>
      <c r="S472" s="38"/>
      <c r="T472" s="38"/>
      <c r="U472" s="37">
        <f t="shared" si="115"/>
        <v>1</v>
      </c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43"/>
      <c r="AH472" s="44"/>
      <c r="AI472" s="45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  <c r="BS472" s="38"/>
      <c r="BT472" s="38"/>
      <c r="BU472" s="38"/>
      <c r="BV472" s="38"/>
      <c r="BW472" s="38"/>
      <c r="BX472" s="38"/>
      <c r="BY472" s="38"/>
      <c r="BZ472" s="38"/>
      <c r="CA472" s="38"/>
      <c r="CB472" s="38"/>
      <c r="CC472" s="38"/>
      <c r="CD472" s="38"/>
      <c r="CE472" s="38"/>
      <c r="CF472" s="38"/>
      <c r="CG472" s="38"/>
      <c r="CH472" s="38"/>
    </row>
    <row r="473" spans="1:86" ht="28.8">
      <c r="A473" s="33"/>
      <c r="B473" s="1" t="s">
        <v>781</v>
      </c>
      <c r="C473" s="1" t="s">
        <v>781</v>
      </c>
      <c r="D473" s="1"/>
      <c r="E473" s="38" t="s">
        <v>37</v>
      </c>
      <c r="F473" s="38">
        <v>450</v>
      </c>
      <c r="G473" s="38" t="s">
        <v>171</v>
      </c>
      <c r="H473" s="38">
        <v>126</v>
      </c>
      <c r="I473" s="38">
        <v>1338</v>
      </c>
      <c r="J473" s="11">
        <f t="shared" si="112"/>
        <v>4014</v>
      </c>
      <c r="K473" s="5">
        <f t="shared" ref="K473" si="116">+J473/(F473*H473*10^-5)</f>
        <v>7079.3650793650786</v>
      </c>
      <c r="L473" s="39">
        <v>3</v>
      </c>
      <c r="M473" s="37">
        <f t="shared" si="114"/>
        <v>3</v>
      </c>
      <c r="N473" s="38"/>
      <c r="O473" s="46"/>
      <c r="P473" s="42">
        <f>+J473-O473</f>
        <v>4014</v>
      </c>
      <c r="Q473" s="38" t="s">
        <v>445</v>
      </c>
      <c r="R473" s="38"/>
      <c r="S473" s="38"/>
      <c r="T473" s="38"/>
      <c r="U473" s="37">
        <f t="shared" si="115"/>
        <v>3</v>
      </c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43"/>
      <c r="AH473" s="44"/>
      <c r="AI473" s="45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  <c r="BW473" s="38"/>
      <c r="BX473" s="38"/>
      <c r="BY473" s="38"/>
      <c r="BZ473" s="38"/>
      <c r="CA473" s="38"/>
      <c r="CB473" s="38"/>
      <c r="CC473" s="38"/>
      <c r="CD473" s="38"/>
      <c r="CE473" s="38"/>
      <c r="CF473" s="38"/>
      <c r="CG473" s="38"/>
      <c r="CH473" s="38"/>
    </row>
    <row r="474" spans="1:86" ht="28.8">
      <c r="A474" s="33"/>
      <c r="B474" s="1" t="s">
        <v>782</v>
      </c>
      <c r="C474" s="1" t="s">
        <v>782</v>
      </c>
      <c r="D474" s="1"/>
      <c r="E474" s="38" t="s">
        <v>41</v>
      </c>
      <c r="F474" s="38">
        <v>50</v>
      </c>
      <c r="G474" s="38" t="s">
        <v>84</v>
      </c>
      <c r="H474" s="38">
        <v>88</v>
      </c>
      <c r="I474" s="38">
        <v>876</v>
      </c>
      <c r="J474" s="11">
        <f t="shared" si="112"/>
        <v>876</v>
      </c>
      <c r="K474" s="5">
        <f t="shared" ref="K474:K477" si="117">+J474/(F474*H474*10^-5)</f>
        <v>19909.090909090908</v>
      </c>
      <c r="L474" s="39">
        <v>1</v>
      </c>
      <c r="M474" s="37">
        <f t="shared" si="114"/>
        <v>1</v>
      </c>
      <c r="N474" s="38"/>
      <c r="O474" s="46"/>
      <c r="P474" s="42">
        <f>+J474-O474</f>
        <v>876</v>
      </c>
      <c r="Q474" s="38"/>
      <c r="R474" s="38" t="s">
        <v>783</v>
      </c>
      <c r="S474" s="38"/>
      <c r="T474" s="38"/>
      <c r="U474" s="37">
        <f t="shared" si="115"/>
        <v>1</v>
      </c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43"/>
      <c r="AH474" s="44"/>
      <c r="AI474" s="45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  <c r="BS474" s="38"/>
      <c r="BT474" s="38"/>
      <c r="BU474" s="38"/>
      <c r="BV474" s="38"/>
      <c r="BW474" s="38"/>
      <c r="BX474" s="38"/>
      <c r="BY474" s="38"/>
      <c r="BZ474" s="38"/>
      <c r="CA474" s="38"/>
      <c r="CB474" s="38"/>
      <c r="CC474" s="38"/>
      <c r="CD474" s="38"/>
      <c r="CE474" s="38"/>
      <c r="CF474" s="38"/>
      <c r="CG474" s="38"/>
      <c r="CH474" s="38"/>
    </row>
    <row r="475" spans="1:86">
      <c r="A475" s="33"/>
      <c r="B475" s="1" t="s">
        <v>781</v>
      </c>
      <c r="C475" s="1" t="s">
        <v>781</v>
      </c>
      <c r="D475" s="1"/>
      <c r="E475" s="38" t="s">
        <v>37</v>
      </c>
      <c r="F475" s="38">
        <v>450</v>
      </c>
      <c r="G475" s="38" t="s">
        <v>171</v>
      </c>
      <c r="H475" s="38">
        <v>126</v>
      </c>
      <c r="I475" s="38">
        <v>1333</v>
      </c>
      <c r="J475" s="11">
        <f t="shared" si="112"/>
        <v>1333</v>
      </c>
      <c r="K475" s="5">
        <f t="shared" si="117"/>
        <v>2350.9700176366841</v>
      </c>
      <c r="L475" s="39">
        <v>1</v>
      </c>
      <c r="M475" s="37">
        <f t="shared" si="114"/>
        <v>1</v>
      </c>
      <c r="N475" s="38"/>
      <c r="O475" s="46"/>
      <c r="P475" s="42"/>
      <c r="Q475" s="38"/>
      <c r="R475" s="38" t="s">
        <v>445</v>
      </c>
      <c r="S475" s="38"/>
      <c r="T475" s="38"/>
      <c r="U475" s="37">
        <f t="shared" si="115"/>
        <v>1</v>
      </c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43"/>
      <c r="AH475" s="44"/>
      <c r="AI475" s="45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  <c r="BS475" s="38"/>
      <c r="BT475" s="38"/>
      <c r="BU475" s="38"/>
      <c r="BV475" s="38"/>
      <c r="BW475" s="38"/>
      <c r="BX475" s="38"/>
      <c r="BY475" s="38"/>
      <c r="BZ475" s="38"/>
      <c r="CA475" s="38"/>
      <c r="CB475" s="38"/>
      <c r="CC475" s="38"/>
      <c r="CD475" s="38"/>
      <c r="CE475" s="38"/>
      <c r="CF475" s="38"/>
      <c r="CG475" s="38"/>
      <c r="CH475" s="38"/>
    </row>
    <row r="476" spans="1:86">
      <c r="A476" s="33"/>
      <c r="B476" s="1" t="s">
        <v>784</v>
      </c>
      <c r="C476" s="1" t="s">
        <v>784</v>
      </c>
      <c r="D476" s="1"/>
      <c r="E476" s="38" t="s">
        <v>50</v>
      </c>
      <c r="F476" s="38">
        <v>100</v>
      </c>
      <c r="G476" s="38" t="s">
        <v>590</v>
      </c>
      <c r="H476" s="38">
        <v>91</v>
      </c>
      <c r="I476" s="38">
        <v>927</v>
      </c>
      <c r="J476" s="11">
        <f t="shared" si="112"/>
        <v>927</v>
      </c>
      <c r="K476" s="5">
        <f t="shared" si="117"/>
        <v>10186.813186813186</v>
      </c>
      <c r="L476" s="39">
        <v>1</v>
      </c>
      <c r="M476" s="37">
        <f t="shared" si="114"/>
        <v>1</v>
      </c>
      <c r="N476" s="38"/>
      <c r="O476" s="46"/>
      <c r="P476" s="42"/>
      <c r="Q476" s="38"/>
      <c r="R476" s="38"/>
      <c r="S476" s="38"/>
      <c r="T476" s="38"/>
      <c r="U476" s="37">
        <f t="shared" si="115"/>
        <v>1</v>
      </c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43"/>
      <c r="AH476" s="44"/>
      <c r="AI476" s="45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  <c r="BS476" s="38"/>
      <c r="BT476" s="38"/>
      <c r="BU476" s="38"/>
      <c r="BV476" s="38"/>
      <c r="BW476" s="38"/>
      <c r="BX476" s="38"/>
      <c r="BY476" s="38"/>
      <c r="BZ476" s="38"/>
      <c r="CA476" s="38"/>
      <c r="CB476" s="38"/>
      <c r="CC476" s="38"/>
      <c r="CD476" s="38"/>
      <c r="CE476" s="38"/>
      <c r="CF476" s="38"/>
      <c r="CG476" s="38"/>
      <c r="CH476" s="38"/>
    </row>
    <row r="477" spans="1:86">
      <c r="A477" s="33">
        <v>45783</v>
      </c>
      <c r="B477" s="1" t="s">
        <v>745</v>
      </c>
      <c r="C477" s="1" t="s">
        <v>745</v>
      </c>
      <c r="D477" s="1"/>
      <c r="E477" s="38" t="s">
        <v>83</v>
      </c>
      <c r="F477" s="38">
        <v>40</v>
      </c>
      <c r="G477" s="38" t="s">
        <v>242</v>
      </c>
      <c r="H477" s="38">
        <v>110</v>
      </c>
      <c r="I477" s="38">
        <v>531</v>
      </c>
      <c r="J477" s="11">
        <f t="shared" si="112"/>
        <v>14337</v>
      </c>
      <c r="K477" s="5">
        <f t="shared" si="117"/>
        <v>325840.90909090906</v>
      </c>
      <c r="L477" s="39">
        <v>27</v>
      </c>
      <c r="M477" s="37">
        <f t="shared" si="114"/>
        <v>27</v>
      </c>
      <c r="N477" s="38"/>
      <c r="O477" s="46"/>
      <c r="P477" s="42">
        <f>+J477-O477</f>
        <v>14337</v>
      </c>
      <c r="Q477" s="38"/>
      <c r="R477" s="38"/>
      <c r="S477" s="38"/>
      <c r="T477" s="38"/>
      <c r="U477" s="37">
        <f t="shared" si="115"/>
        <v>27</v>
      </c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43"/>
      <c r="AH477" s="44"/>
      <c r="AI477" s="45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  <c r="BS477" s="38"/>
      <c r="BT477" s="38"/>
      <c r="BU477" s="38"/>
      <c r="BV477" s="38"/>
      <c r="BW477" s="38"/>
      <c r="BX477" s="38"/>
      <c r="BY477" s="38"/>
      <c r="BZ477" s="38"/>
      <c r="CA477" s="38"/>
      <c r="CB477" s="38"/>
      <c r="CC477" s="38"/>
      <c r="CD477" s="38"/>
      <c r="CE477" s="38"/>
      <c r="CF477" s="38"/>
      <c r="CG477" s="38"/>
      <c r="CH477" s="38"/>
    </row>
    <row r="478" spans="1:86">
      <c r="A478" s="33">
        <v>45783</v>
      </c>
      <c r="B478" s="1"/>
      <c r="C478" s="1"/>
      <c r="D478" s="1"/>
      <c r="E478" s="38" t="s">
        <v>245</v>
      </c>
      <c r="F478" s="38">
        <v>90</v>
      </c>
      <c r="G478" s="38" t="s">
        <v>247</v>
      </c>
      <c r="H478" s="38">
        <v>32</v>
      </c>
      <c r="I478" s="38">
        <v>326</v>
      </c>
      <c r="J478" s="11">
        <f t="shared" si="112"/>
        <v>326</v>
      </c>
      <c r="K478" s="5">
        <f t="shared" ref="K478" si="118">+J478/(F478*H478*10^-5)</f>
        <v>11319.444444444443</v>
      </c>
      <c r="L478" s="39">
        <v>1</v>
      </c>
      <c r="M478" s="37">
        <f t="shared" si="114"/>
        <v>1</v>
      </c>
      <c r="N478" s="38"/>
      <c r="O478" s="46"/>
      <c r="P478" s="42"/>
      <c r="Q478" s="38"/>
      <c r="R478" s="38"/>
      <c r="S478" s="38"/>
      <c r="T478" s="38"/>
      <c r="U478" s="37">
        <f t="shared" si="115"/>
        <v>1</v>
      </c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43"/>
      <c r="AH478" s="44"/>
      <c r="AI478" s="45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  <c r="BW478" s="38"/>
      <c r="BX478" s="38"/>
      <c r="BY478" s="38"/>
      <c r="BZ478" s="38"/>
      <c r="CA478" s="38"/>
      <c r="CB478" s="38"/>
      <c r="CC478" s="38"/>
      <c r="CD478" s="38"/>
      <c r="CE478" s="38"/>
      <c r="CF478" s="38"/>
      <c r="CG478" s="38"/>
      <c r="CH478" s="38"/>
    </row>
    <row r="479" spans="1:86">
      <c r="A479" s="33">
        <v>45783</v>
      </c>
      <c r="B479" s="1" t="s">
        <v>312</v>
      </c>
      <c r="C479" s="1" t="s">
        <v>312</v>
      </c>
      <c r="D479" s="1"/>
      <c r="E479" s="38" t="s">
        <v>245</v>
      </c>
      <c r="F479" s="38">
        <v>90</v>
      </c>
      <c r="G479" s="38" t="s">
        <v>247</v>
      </c>
      <c r="H479" s="38">
        <v>35</v>
      </c>
      <c r="I479" s="38">
        <v>372</v>
      </c>
      <c r="J479" s="11">
        <f t="shared" si="112"/>
        <v>372</v>
      </c>
      <c r="K479" s="5">
        <f t="shared" ref="K479:K488" si="119">+J479/(F479*H479*10^-5)</f>
        <v>11809.523809523809</v>
      </c>
      <c r="L479" s="39">
        <v>1</v>
      </c>
      <c r="M479" s="37">
        <f t="shared" si="114"/>
        <v>1</v>
      </c>
      <c r="N479" s="38"/>
      <c r="O479" s="46"/>
      <c r="P479" s="42"/>
      <c r="Q479" s="38"/>
      <c r="R479" s="38"/>
      <c r="S479" s="38"/>
      <c r="T479" s="38"/>
      <c r="U479" s="37">
        <f t="shared" si="115"/>
        <v>1</v>
      </c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43"/>
      <c r="AH479" s="44"/>
      <c r="AI479" s="45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  <c r="BS479" s="38"/>
      <c r="BT479" s="38"/>
      <c r="BU479" s="38"/>
      <c r="BV479" s="38"/>
      <c r="BW479" s="38"/>
      <c r="BX479" s="38"/>
      <c r="BY479" s="38"/>
      <c r="BZ479" s="38"/>
      <c r="CA479" s="38"/>
      <c r="CB479" s="38"/>
      <c r="CC479" s="38"/>
      <c r="CD479" s="38"/>
      <c r="CE479" s="38"/>
      <c r="CF479" s="38"/>
      <c r="CG479" s="38"/>
      <c r="CH479" s="38"/>
    </row>
    <row r="480" spans="1:86">
      <c r="A480" s="33">
        <v>45783</v>
      </c>
      <c r="B480" s="1" t="s">
        <v>311</v>
      </c>
      <c r="C480" s="1" t="s">
        <v>311</v>
      </c>
      <c r="D480" s="1"/>
      <c r="E480" s="38" t="s">
        <v>245</v>
      </c>
      <c r="F480" s="38">
        <v>90</v>
      </c>
      <c r="G480" s="38" t="s">
        <v>247</v>
      </c>
      <c r="H480" s="38">
        <v>36</v>
      </c>
      <c r="I480" s="38">
        <v>374</v>
      </c>
      <c r="J480" s="11">
        <f t="shared" si="112"/>
        <v>374</v>
      </c>
      <c r="K480" s="5">
        <f t="shared" si="119"/>
        <v>11543.209876543207</v>
      </c>
      <c r="L480" s="39">
        <v>1</v>
      </c>
      <c r="M480" s="37">
        <f t="shared" si="114"/>
        <v>1</v>
      </c>
      <c r="N480" s="38"/>
      <c r="O480" s="46"/>
      <c r="P480" s="42"/>
      <c r="Q480" s="38"/>
      <c r="R480" s="38"/>
      <c r="S480" s="38"/>
      <c r="T480" s="38"/>
      <c r="U480" s="37">
        <f t="shared" si="115"/>
        <v>1</v>
      </c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43"/>
      <c r="AH480" s="44"/>
      <c r="AI480" s="45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  <c r="BS480" s="38"/>
      <c r="BT480" s="38"/>
      <c r="BU480" s="38"/>
      <c r="BV480" s="38"/>
      <c r="BW480" s="38"/>
      <c r="BX480" s="38"/>
      <c r="BY480" s="38"/>
      <c r="BZ480" s="38"/>
      <c r="CA480" s="38"/>
      <c r="CB480" s="38"/>
      <c r="CC480" s="38"/>
      <c r="CD480" s="38"/>
      <c r="CE480" s="38"/>
      <c r="CF480" s="38"/>
      <c r="CG480" s="38"/>
      <c r="CH480" s="38"/>
    </row>
    <row r="481" spans="1:86">
      <c r="A481" s="33">
        <v>45783</v>
      </c>
      <c r="B481" s="1" t="s">
        <v>312</v>
      </c>
      <c r="C481" s="1" t="s">
        <v>312</v>
      </c>
      <c r="D481" s="1"/>
      <c r="E481" s="38" t="s">
        <v>245</v>
      </c>
      <c r="F481" s="38">
        <v>90</v>
      </c>
      <c r="G481" s="38" t="s">
        <v>247</v>
      </c>
      <c r="H481" s="38">
        <v>35</v>
      </c>
      <c r="I481" s="38">
        <v>360</v>
      </c>
      <c r="J481" s="11">
        <f t="shared" si="112"/>
        <v>360</v>
      </c>
      <c r="K481" s="5">
        <f t="shared" si="119"/>
        <v>11428.571428571429</v>
      </c>
      <c r="L481" s="39">
        <v>1</v>
      </c>
      <c r="M481" s="37">
        <f t="shared" si="114"/>
        <v>1</v>
      </c>
      <c r="N481" s="38"/>
      <c r="O481" s="46"/>
      <c r="P481" s="42"/>
      <c r="Q481" s="38"/>
      <c r="R481" s="38"/>
      <c r="S481" s="38"/>
      <c r="T481" s="38"/>
      <c r="U481" s="37">
        <f t="shared" si="115"/>
        <v>1</v>
      </c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43"/>
      <c r="AH481" s="44"/>
      <c r="AI481" s="45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  <c r="BW481" s="38"/>
      <c r="BX481" s="38"/>
      <c r="BY481" s="38"/>
      <c r="BZ481" s="38"/>
      <c r="CA481" s="38"/>
      <c r="CB481" s="38"/>
      <c r="CC481" s="38"/>
      <c r="CD481" s="38"/>
      <c r="CE481" s="38"/>
      <c r="CF481" s="38"/>
      <c r="CG481" s="38"/>
      <c r="CH481" s="38"/>
    </row>
    <row r="482" spans="1:86">
      <c r="A482" s="33">
        <v>45783</v>
      </c>
      <c r="B482" s="1" t="s">
        <v>311</v>
      </c>
      <c r="C482" s="1" t="s">
        <v>311</v>
      </c>
      <c r="D482" s="1"/>
      <c r="E482" s="38" t="s">
        <v>245</v>
      </c>
      <c r="F482" s="38">
        <v>90</v>
      </c>
      <c r="G482" s="38" t="s">
        <v>247</v>
      </c>
      <c r="H482" s="38">
        <v>36</v>
      </c>
      <c r="I482" s="38">
        <v>394</v>
      </c>
      <c r="J482" s="11">
        <f t="shared" si="112"/>
        <v>394</v>
      </c>
      <c r="K482" s="5">
        <f t="shared" si="119"/>
        <v>12160.493827160491</v>
      </c>
      <c r="L482" s="39">
        <v>1</v>
      </c>
      <c r="M482" s="37">
        <f t="shared" si="114"/>
        <v>1</v>
      </c>
      <c r="N482" s="38"/>
      <c r="O482" s="46"/>
      <c r="P482" s="42"/>
      <c r="Q482" s="38"/>
      <c r="R482" s="38"/>
      <c r="S482" s="38"/>
      <c r="T482" s="38"/>
      <c r="U482" s="37">
        <f t="shared" si="115"/>
        <v>1</v>
      </c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43"/>
      <c r="AH482" s="44"/>
      <c r="AI482" s="45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  <c r="BW482" s="38"/>
      <c r="BX482" s="38"/>
      <c r="BY482" s="38"/>
      <c r="BZ482" s="38"/>
      <c r="CA482" s="38"/>
      <c r="CB482" s="38"/>
      <c r="CC482" s="38"/>
      <c r="CD482" s="38"/>
      <c r="CE482" s="38"/>
      <c r="CF482" s="38"/>
      <c r="CG482" s="38"/>
      <c r="CH482" s="38"/>
    </row>
    <row r="483" spans="1:86">
      <c r="A483" s="33">
        <v>45783</v>
      </c>
      <c r="B483" s="1" t="s">
        <v>785</v>
      </c>
      <c r="C483" s="1" t="s">
        <v>785</v>
      </c>
      <c r="D483" s="1"/>
      <c r="E483" s="38" t="s">
        <v>245</v>
      </c>
      <c r="F483" s="38">
        <v>70</v>
      </c>
      <c r="G483" s="38" t="s">
        <v>247</v>
      </c>
      <c r="H483" s="38">
        <v>123</v>
      </c>
      <c r="I483" s="38">
        <v>1045</v>
      </c>
      <c r="J483" s="11">
        <f t="shared" si="112"/>
        <v>1045</v>
      </c>
      <c r="K483" s="5">
        <f t="shared" si="119"/>
        <v>12137.049941927989</v>
      </c>
      <c r="L483" s="39">
        <v>1</v>
      </c>
      <c r="M483" s="37">
        <f t="shared" si="114"/>
        <v>1</v>
      </c>
      <c r="N483" s="38"/>
      <c r="O483" s="46"/>
      <c r="P483" s="42"/>
      <c r="Q483" s="38"/>
      <c r="R483" s="38"/>
      <c r="S483" s="38"/>
      <c r="T483" s="38"/>
      <c r="U483" s="37">
        <f t="shared" si="115"/>
        <v>1</v>
      </c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43"/>
      <c r="AH483" s="44"/>
      <c r="AI483" s="45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  <c r="BS483" s="38"/>
      <c r="BT483" s="38"/>
      <c r="BU483" s="38"/>
      <c r="BV483" s="38"/>
      <c r="BW483" s="38"/>
      <c r="BX483" s="38"/>
      <c r="BY483" s="38"/>
      <c r="BZ483" s="38"/>
      <c r="CA483" s="38"/>
      <c r="CB483" s="38"/>
      <c r="CC483" s="38"/>
      <c r="CD483" s="38"/>
      <c r="CE483" s="38"/>
      <c r="CF483" s="38"/>
      <c r="CG483" s="38"/>
      <c r="CH483" s="38"/>
    </row>
    <row r="484" spans="1:86">
      <c r="A484" s="33">
        <v>45783</v>
      </c>
      <c r="B484" s="1" t="s">
        <v>786</v>
      </c>
      <c r="C484" s="1" t="s">
        <v>786</v>
      </c>
      <c r="D484" s="1"/>
      <c r="E484" s="38" t="s">
        <v>245</v>
      </c>
      <c r="F484" s="38">
        <v>85</v>
      </c>
      <c r="G484" s="38" t="s">
        <v>247</v>
      </c>
      <c r="H484" s="38">
        <v>103</v>
      </c>
      <c r="I484" s="38">
        <v>362</v>
      </c>
      <c r="J484" s="11">
        <f t="shared" si="112"/>
        <v>362</v>
      </c>
      <c r="K484" s="5">
        <f t="shared" si="119"/>
        <v>4134.78012564249</v>
      </c>
      <c r="L484" s="39">
        <v>1</v>
      </c>
      <c r="M484" s="37">
        <f t="shared" si="114"/>
        <v>1</v>
      </c>
      <c r="N484" s="38" t="s">
        <v>248</v>
      </c>
      <c r="O484" s="46">
        <f>J484</f>
        <v>362</v>
      </c>
      <c r="P484" s="42">
        <f>+J484-O484</f>
        <v>0</v>
      </c>
      <c r="Q484" s="38"/>
      <c r="R484" s="38"/>
      <c r="S484" s="38"/>
      <c r="T484" s="38"/>
      <c r="U484" s="37">
        <f t="shared" si="115"/>
        <v>1</v>
      </c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43"/>
      <c r="AH484" s="44"/>
      <c r="AI484" s="45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  <c r="BS484" s="38"/>
      <c r="BT484" s="38"/>
      <c r="BU484" s="38"/>
      <c r="BV484" s="38"/>
      <c r="BW484" s="38"/>
      <c r="BX484" s="38"/>
      <c r="BY484" s="38"/>
      <c r="BZ484" s="38"/>
      <c r="CA484" s="38"/>
      <c r="CB484" s="38"/>
      <c r="CC484" s="38"/>
      <c r="CD484" s="38"/>
      <c r="CE484" s="38"/>
      <c r="CF484" s="38"/>
      <c r="CG484" s="38"/>
      <c r="CH484" s="38"/>
    </row>
    <row r="485" spans="1:86">
      <c r="A485" s="33">
        <v>45783</v>
      </c>
      <c r="B485" s="1" t="s">
        <v>787</v>
      </c>
      <c r="C485" s="1" t="s">
        <v>787</v>
      </c>
      <c r="D485" s="1"/>
      <c r="E485" s="38" t="s">
        <v>245</v>
      </c>
      <c r="F485" s="38">
        <v>55</v>
      </c>
      <c r="G485" s="38" t="s">
        <v>247</v>
      </c>
      <c r="H485" s="38">
        <v>116</v>
      </c>
      <c r="I485" s="38">
        <v>1166</v>
      </c>
      <c r="J485" s="11">
        <f t="shared" ref="J485:J515" si="120">IFERROR(IF(AND(V485=3,U485&gt;0),I485,I485*U485),"Verify")</f>
        <v>1166</v>
      </c>
      <c r="K485" s="5">
        <f t="shared" si="119"/>
        <v>18275.862068965514</v>
      </c>
      <c r="L485" s="39">
        <v>1</v>
      </c>
      <c r="M485" s="37">
        <f t="shared" ref="M485:M514" si="121">+L485-X485-Z485-AD485-AB485-AF485-AH485-AJ485-AL485-AO485-AQ485-AS485-AU485-AW485-AY485-BA485-BC485-BE485-BG485-BI485-BK485-BM485-BO485-BQ485-BS485-BU485-BW485-BY485-CA485-CC485-CE485-CG485</f>
        <v>1</v>
      </c>
      <c r="N485" s="38"/>
      <c r="O485" s="46"/>
      <c r="P485" s="42"/>
      <c r="Q485" s="38"/>
      <c r="R485" s="38"/>
      <c r="S485" s="38"/>
      <c r="T485" s="38"/>
      <c r="U485" s="37">
        <f t="shared" si="115"/>
        <v>1</v>
      </c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43"/>
      <c r="AH485" s="44"/>
      <c r="AI485" s="45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  <c r="BS485" s="38"/>
      <c r="BT485" s="38"/>
      <c r="BU485" s="38"/>
      <c r="BV485" s="38"/>
      <c r="BW485" s="38"/>
      <c r="BX485" s="38"/>
      <c r="BY485" s="38"/>
      <c r="BZ485" s="38"/>
      <c r="CA485" s="38"/>
      <c r="CB485" s="38"/>
      <c r="CC485" s="38"/>
      <c r="CD485" s="38"/>
      <c r="CE485" s="38"/>
      <c r="CF485" s="38"/>
      <c r="CG485" s="38"/>
      <c r="CH485" s="38"/>
    </row>
    <row r="486" spans="1:86">
      <c r="A486" s="33">
        <v>45783</v>
      </c>
      <c r="B486" s="1" t="s">
        <v>788</v>
      </c>
      <c r="C486" s="1" t="s">
        <v>788</v>
      </c>
      <c r="D486" s="1"/>
      <c r="E486" s="38" t="s">
        <v>245</v>
      </c>
      <c r="F486" s="38">
        <v>55</v>
      </c>
      <c r="G486" s="38" t="s">
        <v>247</v>
      </c>
      <c r="H486" s="38">
        <v>123</v>
      </c>
      <c r="I486" s="38">
        <v>1114</v>
      </c>
      <c r="J486" s="11">
        <f t="shared" si="120"/>
        <v>1114</v>
      </c>
      <c r="K486" s="5">
        <f t="shared" si="119"/>
        <v>16467.110125646712</v>
      </c>
      <c r="L486" s="39">
        <v>1</v>
      </c>
      <c r="M486" s="37">
        <f t="shared" si="121"/>
        <v>1</v>
      </c>
      <c r="N486" s="38"/>
      <c r="O486" s="46"/>
      <c r="P486" s="42"/>
      <c r="Q486" s="38"/>
      <c r="R486" s="38"/>
      <c r="S486" s="38"/>
      <c r="T486" s="38"/>
      <c r="U486" s="37">
        <f t="shared" si="115"/>
        <v>1</v>
      </c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43"/>
      <c r="AH486" s="44"/>
      <c r="AI486" s="45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  <c r="BS486" s="38"/>
      <c r="BT486" s="38"/>
      <c r="BU486" s="38"/>
      <c r="BV486" s="38"/>
      <c r="BW486" s="38"/>
      <c r="BX486" s="38"/>
      <c r="BY486" s="38"/>
      <c r="BZ486" s="38"/>
      <c r="CA486" s="38"/>
      <c r="CB486" s="38"/>
      <c r="CC486" s="38"/>
      <c r="CD486" s="38"/>
      <c r="CE486" s="38"/>
      <c r="CF486" s="38"/>
      <c r="CG486" s="38"/>
      <c r="CH486" s="38"/>
    </row>
    <row r="487" spans="1:86">
      <c r="A487" s="33">
        <v>45783</v>
      </c>
      <c r="B487" s="1" t="s">
        <v>789</v>
      </c>
      <c r="C487" s="1" t="s">
        <v>789</v>
      </c>
      <c r="D487" s="1"/>
      <c r="E487" s="38" t="s">
        <v>245</v>
      </c>
      <c r="F487" s="38">
        <v>65</v>
      </c>
      <c r="G487" s="38" t="s">
        <v>247</v>
      </c>
      <c r="H487" s="38">
        <v>103</v>
      </c>
      <c r="I487" s="38">
        <v>934</v>
      </c>
      <c r="J487" s="11">
        <f t="shared" si="120"/>
        <v>934</v>
      </c>
      <c r="K487" s="5">
        <f t="shared" si="119"/>
        <v>13950.709484690065</v>
      </c>
      <c r="L487" s="39">
        <v>1</v>
      </c>
      <c r="M487" s="37">
        <f t="shared" si="121"/>
        <v>1</v>
      </c>
      <c r="N487" s="38"/>
      <c r="O487" s="46"/>
      <c r="P487" s="42"/>
      <c r="Q487" s="38"/>
      <c r="R487" s="38"/>
      <c r="S487" s="38"/>
      <c r="T487" s="38"/>
      <c r="U487" s="37">
        <f t="shared" si="115"/>
        <v>1</v>
      </c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43"/>
      <c r="AH487" s="44"/>
      <c r="AI487" s="45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  <c r="BS487" s="38"/>
      <c r="BT487" s="38"/>
      <c r="BU487" s="38"/>
      <c r="BV487" s="38"/>
      <c r="BW487" s="38"/>
      <c r="BX487" s="38"/>
      <c r="BY487" s="38"/>
      <c r="BZ487" s="38"/>
      <c r="CA487" s="38"/>
      <c r="CB487" s="38"/>
      <c r="CC487" s="38"/>
      <c r="CD487" s="38"/>
      <c r="CE487" s="38"/>
      <c r="CF487" s="38"/>
      <c r="CG487" s="38"/>
      <c r="CH487" s="38"/>
    </row>
    <row r="488" spans="1:86">
      <c r="A488" s="33">
        <v>45783</v>
      </c>
      <c r="B488" s="1" t="s">
        <v>790</v>
      </c>
      <c r="C488" s="1" t="s">
        <v>790</v>
      </c>
      <c r="D488" s="1"/>
      <c r="E488" s="38" t="s">
        <v>245</v>
      </c>
      <c r="F488" s="38">
        <v>65</v>
      </c>
      <c r="G488" s="38" t="s">
        <v>247</v>
      </c>
      <c r="H488" s="38">
        <v>105</v>
      </c>
      <c r="I488" s="38">
        <v>929</v>
      </c>
      <c r="J488" s="11">
        <f t="shared" si="120"/>
        <v>929</v>
      </c>
      <c r="K488" s="5">
        <f t="shared" si="119"/>
        <v>13611.72161172161</v>
      </c>
      <c r="L488" s="39">
        <v>1</v>
      </c>
      <c r="M488" s="37">
        <f t="shared" si="121"/>
        <v>1</v>
      </c>
      <c r="N488" s="38"/>
      <c r="O488" s="46"/>
      <c r="P488" s="42"/>
      <c r="Q488" s="38"/>
      <c r="R488" s="38"/>
      <c r="S488" s="38"/>
      <c r="T488" s="38"/>
      <c r="U488" s="37">
        <f t="shared" si="115"/>
        <v>1</v>
      </c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43"/>
      <c r="AH488" s="44"/>
      <c r="AI488" s="45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  <c r="BS488" s="38"/>
      <c r="BT488" s="38"/>
      <c r="BU488" s="38"/>
      <c r="BV488" s="38"/>
      <c r="BW488" s="38"/>
      <c r="BX488" s="38"/>
      <c r="BY488" s="38"/>
      <c r="BZ488" s="38"/>
      <c r="CA488" s="38"/>
      <c r="CB488" s="38"/>
      <c r="CC488" s="38"/>
      <c r="CD488" s="38"/>
      <c r="CE488" s="38"/>
      <c r="CF488" s="38"/>
      <c r="CG488" s="38"/>
      <c r="CH488" s="38"/>
    </row>
    <row r="489" spans="1:86">
      <c r="A489" s="33">
        <v>45783</v>
      </c>
      <c r="B489" s="1" t="s">
        <v>791</v>
      </c>
      <c r="C489" s="1" t="s">
        <v>791</v>
      </c>
      <c r="D489" s="1"/>
      <c r="E489" s="38" t="s">
        <v>245</v>
      </c>
      <c r="F489" s="38">
        <v>70</v>
      </c>
      <c r="G489" s="38" t="s">
        <v>247</v>
      </c>
      <c r="H489" s="38">
        <v>125</v>
      </c>
      <c r="I489" s="38">
        <v>1444</v>
      </c>
      <c r="J489" s="11">
        <f t="shared" si="120"/>
        <v>1444</v>
      </c>
      <c r="K489" s="5">
        <f t="shared" ref="K489:K502" si="122">+J489/(F489*H489*10^-5)</f>
        <v>16502.857142857141</v>
      </c>
      <c r="L489" s="39">
        <v>1</v>
      </c>
      <c r="M489" s="37">
        <f t="shared" si="121"/>
        <v>1</v>
      </c>
      <c r="N489" s="38"/>
      <c r="O489" s="46"/>
      <c r="P489" s="42"/>
      <c r="Q489" s="38"/>
      <c r="R489" s="38"/>
      <c r="S489" s="38"/>
      <c r="T489" s="38"/>
      <c r="U489" s="37">
        <f t="shared" si="115"/>
        <v>1</v>
      </c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43"/>
      <c r="AH489" s="44"/>
      <c r="AI489" s="45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  <c r="BS489" s="38"/>
      <c r="BT489" s="38"/>
      <c r="BU489" s="38"/>
      <c r="BV489" s="38"/>
      <c r="BW489" s="38"/>
      <c r="BX489" s="38"/>
      <c r="BY489" s="38"/>
      <c r="BZ489" s="38"/>
      <c r="CA489" s="38"/>
      <c r="CB489" s="38"/>
      <c r="CC489" s="38"/>
      <c r="CD489" s="38"/>
      <c r="CE489" s="38"/>
      <c r="CF489" s="38"/>
      <c r="CG489" s="38"/>
      <c r="CH489" s="38"/>
    </row>
    <row r="490" spans="1:86">
      <c r="A490" s="33">
        <v>45783</v>
      </c>
      <c r="B490" s="1" t="s">
        <v>792</v>
      </c>
      <c r="C490" s="1" t="s">
        <v>792</v>
      </c>
      <c r="D490" s="1"/>
      <c r="E490" s="38" t="s">
        <v>245</v>
      </c>
      <c r="F490" s="38">
        <v>60</v>
      </c>
      <c r="G490" s="38" t="s">
        <v>247</v>
      </c>
      <c r="H490" s="38">
        <v>123</v>
      </c>
      <c r="I490" s="38">
        <v>634</v>
      </c>
      <c r="J490" s="11">
        <f t="shared" si="120"/>
        <v>634</v>
      </c>
      <c r="K490" s="5">
        <f t="shared" si="122"/>
        <v>8590.7859078590773</v>
      </c>
      <c r="L490" s="39">
        <v>1</v>
      </c>
      <c r="M490" s="37">
        <f t="shared" si="121"/>
        <v>1</v>
      </c>
      <c r="N490" s="38"/>
      <c r="O490" s="46"/>
      <c r="P490" s="42"/>
      <c r="Q490" s="38"/>
      <c r="R490" s="38"/>
      <c r="S490" s="38"/>
      <c r="T490" s="38"/>
      <c r="U490" s="37">
        <f t="shared" si="115"/>
        <v>1</v>
      </c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43"/>
      <c r="AH490" s="44"/>
      <c r="AI490" s="45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  <c r="BS490" s="38"/>
      <c r="BT490" s="38"/>
      <c r="BU490" s="38"/>
      <c r="BV490" s="38"/>
      <c r="BW490" s="38"/>
      <c r="BX490" s="38"/>
      <c r="BY490" s="38"/>
      <c r="BZ490" s="38"/>
      <c r="CA490" s="38"/>
      <c r="CB490" s="38"/>
      <c r="CC490" s="38"/>
      <c r="CD490" s="38"/>
      <c r="CE490" s="38"/>
      <c r="CF490" s="38"/>
      <c r="CG490" s="38"/>
      <c r="CH490" s="38"/>
    </row>
    <row r="491" spans="1:86">
      <c r="A491" s="33">
        <v>45783</v>
      </c>
      <c r="B491" s="1" t="s">
        <v>793</v>
      </c>
      <c r="C491" s="1" t="s">
        <v>793</v>
      </c>
      <c r="D491" s="1"/>
      <c r="E491" s="38" t="s">
        <v>245</v>
      </c>
      <c r="F491" s="38">
        <v>60</v>
      </c>
      <c r="G491" s="38" t="s">
        <v>247</v>
      </c>
      <c r="H491" s="38">
        <v>104</v>
      </c>
      <c r="I491" s="38">
        <v>588</v>
      </c>
      <c r="J491" s="11">
        <f t="shared" si="120"/>
        <v>588</v>
      </c>
      <c r="K491" s="5">
        <f t="shared" si="122"/>
        <v>9423.076923076922</v>
      </c>
      <c r="L491" s="39">
        <v>1</v>
      </c>
      <c r="M491" s="37">
        <f t="shared" si="121"/>
        <v>1</v>
      </c>
      <c r="N491" s="38"/>
      <c r="O491" s="46"/>
      <c r="P491" s="42"/>
      <c r="Q491" s="38"/>
      <c r="R491" s="38"/>
      <c r="S491" s="38"/>
      <c r="T491" s="38"/>
      <c r="U491" s="37">
        <f t="shared" ref="U491:U514" si="123">+L491-X491-Z491-AD491-AB491-AF491-AH491-AJ491-AL491-AO491-AQ491-AS491-AU491-AW491-AY491-BA491-BC491-BE491-BG491-BI491-BK491-BM491-BO491-BQ491-BS491-BU491-BW491-BY491-CA491-CC491-CE491-CG491</f>
        <v>1</v>
      </c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43"/>
      <c r="AH491" s="44"/>
      <c r="AI491" s="45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  <c r="BS491" s="38"/>
      <c r="BT491" s="38"/>
      <c r="BU491" s="38"/>
      <c r="BV491" s="38"/>
      <c r="BW491" s="38"/>
      <c r="BX491" s="38"/>
      <c r="BY491" s="38"/>
      <c r="BZ491" s="38"/>
      <c r="CA491" s="38"/>
      <c r="CB491" s="38"/>
      <c r="CC491" s="38"/>
      <c r="CD491" s="38"/>
      <c r="CE491" s="38"/>
      <c r="CF491" s="38"/>
      <c r="CG491" s="38"/>
      <c r="CH491" s="38"/>
    </row>
    <row r="492" spans="1:86">
      <c r="A492" s="33">
        <v>45783</v>
      </c>
      <c r="B492" s="1" t="s">
        <v>788</v>
      </c>
      <c r="C492" s="1" t="s">
        <v>788</v>
      </c>
      <c r="D492" s="1"/>
      <c r="E492" s="38" t="s">
        <v>245</v>
      </c>
      <c r="F492" s="38">
        <v>55</v>
      </c>
      <c r="G492" s="38" t="s">
        <v>247</v>
      </c>
      <c r="H492" s="38">
        <v>123</v>
      </c>
      <c r="I492" s="38">
        <v>474</v>
      </c>
      <c r="J492" s="11">
        <f t="shared" si="120"/>
        <v>474</v>
      </c>
      <c r="K492" s="5">
        <f t="shared" si="122"/>
        <v>7006.6518847006646</v>
      </c>
      <c r="L492" s="39">
        <v>1</v>
      </c>
      <c r="M492" s="37">
        <f t="shared" si="121"/>
        <v>1</v>
      </c>
      <c r="N492" s="38"/>
      <c r="O492" s="46"/>
      <c r="P492" s="42"/>
      <c r="Q492" s="38"/>
      <c r="R492" s="38"/>
      <c r="S492" s="38"/>
      <c r="T492" s="38"/>
      <c r="U492" s="37">
        <f t="shared" si="123"/>
        <v>1</v>
      </c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43"/>
      <c r="AH492" s="44"/>
      <c r="AI492" s="45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  <c r="BS492" s="38"/>
      <c r="BT492" s="38"/>
      <c r="BU492" s="38"/>
      <c r="BV492" s="38"/>
      <c r="BW492" s="38"/>
      <c r="BX492" s="38"/>
      <c r="BY492" s="38"/>
      <c r="BZ492" s="38"/>
      <c r="CA492" s="38"/>
      <c r="CB492" s="38"/>
      <c r="CC492" s="38"/>
      <c r="CD492" s="38"/>
      <c r="CE492" s="38"/>
      <c r="CF492" s="38"/>
      <c r="CG492" s="38"/>
      <c r="CH492" s="38"/>
    </row>
    <row r="493" spans="1:86">
      <c r="A493" s="33">
        <v>45783</v>
      </c>
      <c r="B493" s="1" t="s">
        <v>794</v>
      </c>
      <c r="C493" s="1" t="s">
        <v>794</v>
      </c>
      <c r="D493" s="1"/>
      <c r="E493" s="38" t="s">
        <v>245</v>
      </c>
      <c r="F493" s="38">
        <v>50</v>
      </c>
      <c r="G493" s="38" t="s">
        <v>247</v>
      </c>
      <c r="H493" s="38">
        <v>110</v>
      </c>
      <c r="I493" s="38">
        <v>1054</v>
      </c>
      <c r="J493" s="11">
        <f t="shared" si="120"/>
        <v>1054</v>
      </c>
      <c r="K493" s="5">
        <f t="shared" si="122"/>
        <v>19163.63636363636</v>
      </c>
      <c r="L493" s="39">
        <v>1</v>
      </c>
      <c r="M493" s="37">
        <f t="shared" si="121"/>
        <v>1</v>
      </c>
      <c r="N493" s="38"/>
      <c r="O493" s="46"/>
      <c r="P493" s="42"/>
      <c r="Q493" s="38"/>
      <c r="R493" s="38"/>
      <c r="S493" s="38"/>
      <c r="T493" s="38"/>
      <c r="U493" s="37">
        <f t="shared" si="123"/>
        <v>1</v>
      </c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43"/>
      <c r="AH493" s="44"/>
      <c r="AI493" s="45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  <c r="CH493" s="38"/>
    </row>
    <row r="494" spans="1:86">
      <c r="A494" s="33">
        <v>45783</v>
      </c>
      <c r="B494" s="1" t="s">
        <v>795</v>
      </c>
      <c r="C494" s="1" t="s">
        <v>795</v>
      </c>
      <c r="D494" s="1"/>
      <c r="E494" s="38" t="s">
        <v>245</v>
      </c>
      <c r="F494" s="38">
        <v>75</v>
      </c>
      <c r="G494" s="38" t="s">
        <v>247</v>
      </c>
      <c r="H494" s="38">
        <v>125</v>
      </c>
      <c r="I494" s="38">
        <v>1141</v>
      </c>
      <c r="J494" s="11">
        <f t="shared" si="120"/>
        <v>1141</v>
      </c>
      <c r="K494" s="5">
        <f t="shared" si="122"/>
        <v>12170.666666666664</v>
      </c>
      <c r="L494" s="39">
        <v>1</v>
      </c>
      <c r="M494" s="37">
        <f t="shared" si="121"/>
        <v>1</v>
      </c>
      <c r="N494" s="38"/>
      <c r="O494" s="46"/>
      <c r="P494" s="42">
        <f>+J494-O494</f>
        <v>1141</v>
      </c>
      <c r="Q494" s="38"/>
      <c r="R494" s="38"/>
      <c r="S494" s="38"/>
      <c r="T494" s="38"/>
      <c r="U494" s="37">
        <f t="shared" si="123"/>
        <v>1</v>
      </c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43"/>
      <c r="AH494" s="44"/>
      <c r="AI494" s="45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  <c r="BW494" s="38"/>
      <c r="BX494" s="38"/>
      <c r="BY494" s="38"/>
      <c r="BZ494" s="38"/>
      <c r="CA494" s="38"/>
      <c r="CB494" s="38"/>
      <c r="CC494" s="38"/>
      <c r="CD494" s="38"/>
      <c r="CE494" s="38"/>
      <c r="CF494" s="38"/>
      <c r="CG494" s="38"/>
      <c r="CH494" s="38"/>
    </row>
    <row r="495" spans="1:86">
      <c r="A495" s="33">
        <v>45783</v>
      </c>
      <c r="B495" s="1"/>
      <c r="C495" s="1"/>
      <c r="D495" s="1"/>
      <c r="E495" s="38" t="s">
        <v>245</v>
      </c>
      <c r="F495" s="38">
        <v>70</v>
      </c>
      <c r="G495" s="38" t="s">
        <v>247</v>
      </c>
      <c r="H495" s="38">
        <v>126</v>
      </c>
      <c r="I495" s="38">
        <v>1020</v>
      </c>
      <c r="J495" s="11">
        <f t="shared" si="120"/>
        <v>1020</v>
      </c>
      <c r="K495" s="5">
        <f t="shared" si="122"/>
        <v>11564.625850340137</v>
      </c>
      <c r="L495" s="39">
        <v>1</v>
      </c>
      <c r="M495" s="37">
        <f t="shared" si="121"/>
        <v>1</v>
      </c>
      <c r="N495" s="38"/>
      <c r="O495" s="46"/>
      <c r="P495" s="42"/>
      <c r="Q495" s="38"/>
      <c r="R495" s="38"/>
      <c r="S495" s="38"/>
      <c r="T495" s="38"/>
      <c r="U495" s="37">
        <f t="shared" si="123"/>
        <v>1</v>
      </c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43"/>
      <c r="AH495" s="44"/>
      <c r="AI495" s="45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  <c r="BS495" s="38"/>
      <c r="BT495" s="38"/>
      <c r="BU495" s="38"/>
      <c r="BV495" s="38"/>
      <c r="BW495" s="38"/>
      <c r="BX495" s="38"/>
      <c r="BY495" s="38"/>
      <c r="BZ495" s="38"/>
      <c r="CA495" s="38"/>
      <c r="CB495" s="38"/>
      <c r="CC495" s="38"/>
      <c r="CD495" s="38"/>
      <c r="CE495" s="38"/>
      <c r="CF495" s="38"/>
      <c r="CG495" s="38"/>
      <c r="CH495" s="38"/>
    </row>
    <row r="496" spans="1:86">
      <c r="A496" s="33">
        <v>45783</v>
      </c>
      <c r="B496" s="1" t="s">
        <v>796</v>
      </c>
      <c r="C496" s="1" t="s">
        <v>796</v>
      </c>
      <c r="D496" s="1"/>
      <c r="E496" s="38" t="s">
        <v>245</v>
      </c>
      <c r="F496" s="38">
        <v>60</v>
      </c>
      <c r="G496" s="38" t="s">
        <v>247</v>
      </c>
      <c r="H496" s="38">
        <v>126</v>
      </c>
      <c r="I496" s="38">
        <v>935</v>
      </c>
      <c r="J496" s="11">
        <f t="shared" si="120"/>
        <v>935</v>
      </c>
      <c r="K496" s="5">
        <f t="shared" si="122"/>
        <v>12367.724867724868</v>
      </c>
      <c r="L496" s="39">
        <v>1</v>
      </c>
      <c r="M496" s="37">
        <f t="shared" si="121"/>
        <v>1</v>
      </c>
      <c r="N496" s="38"/>
      <c r="O496" s="46"/>
      <c r="P496" s="42"/>
      <c r="Q496" s="38"/>
      <c r="R496" s="38"/>
      <c r="S496" s="38"/>
      <c r="T496" s="38"/>
      <c r="U496" s="37">
        <f t="shared" si="123"/>
        <v>1</v>
      </c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43"/>
      <c r="AH496" s="44"/>
      <c r="AI496" s="45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  <c r="BS496" s="38"/>
      <c r="BT496" s="38"/>
      <c r="BU496" s="38"/>
      <c r="BV496" s="38"/>
      <c r="BW496" s="38"/>
      <c r="BX496" s="38"/>
      <c r="BY496" s="38"/>
      <c r="BZ496" s="38"/>
      <c r="CA496" s="38"/>
      <c r="CB496" s="38"/>
      <c r="CC496" s="38"/>
      <c r="CD496" s="38"/>
      <c r="CE496" s="38"/>
      <c r="CF496" s="38"/>
      <c r="CG496" s="38"/>
      <c r="CH496" s="38"/>
    </row>
    <row r="497" spans="1:86">
      <c r="A497" s="33">
        <v>45783</v>
      </c>
      <c r="B497" s="1" t="s">
        <v>364</v>
      </c>
      <c r="C497" s="1" t="s">
        <v>364</v>
      </c>
      <c r="D497" s="1"/>
      <c r="E497" s="38" t="s">
        <v>245</v>
      </c>
      <c r="F497" s="38">
        <v>70</v>
      </c>
      <c r="G497" s="38" t="s">
        <v>247</v>
      </c>
      <c r="H497" s="38">
        <v>104</v>
      </c>
      <c r="I497" s="38">
        <v>894</v>
      </c>
      <c r="J497" s="11">
        <f t="shared" si="120"/>
        <v>894</v>
      </c>
      <c r="K497" s="5">
        <f t="shared" si="122"/>
        <v>12280.219780219779</v>
      </c>
      <c r="L497" s="39">
        <v>1</v>
      </c>
      <c r="M497" s="37">
        <f t="shared" si="121"/>
        <v>1</v>
      </c>
      <c r="N497" s="38"/>
      <c r="O497" s="46"/>
      <c r="P497" s="42"/>
      <c r="Q497" s="38"/>
      <c r="R497" s="38"/>
      <c r="S497" s="38"/>
      <c r="T497" s="38"/>
      <c r="U497" s="37">
        <f t="shared" si="123"/>
        <v>1</v>
      </c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43"/>
      <c r="AH497" s="44"/>
      <c r="AI497" s="45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  <c r="BS497" s="38"/>
      <c r="BT497" s="38"/>
      <c r="BU497" s="38"/>
      <c r="BV497" s="38"/>
      <c r="BW497" s="38"/>
      <c r="BX497" s="38"/>
      <c r="BY497" s="38"/>
      <c r="BZ497" s="38"/>
      <c r="CA497" s="38"/>
      <c r="CB497" s="38"/>
      <c r="CC497" s="38"/>
      <c r="CD497" s="38"/>
      <c r="CE497" s="38"/>
      <c r="CF497" s="38"/>
      <c r="CG497" s="38"/>
      <c r="CH497" s="38"/>
    </row>
    <row r="498" spans="1:86">
      <c r="A498" s="33">
        <v>45783</v>
      </c>
      <c r="B498" s="1" t="s">
        <v>797</v>
      </c>
      <c r="C498" s="1" t="s">
        <v>797</v>
      </c>
      <c r="D498" s="1"/>
      <c r="E498" s="38" t="s">
        <v>245</v>
      </c>
      <c r="F498" s="38">
        <v>70</v>
      </c>
      <c r="G498" s="38" t="s">
        <v>247</v>
      </c>
      <c r="H498" s="38">
        <v>122</v>
      </c>
      <c r="I498" s="38">
        <v>927</v>
      </c>
      <c r="J498" s="11">
        <f t="shared" si="120"/>
        <v>927</v>
      </c>
      <c r="K498" s="5">
        <f t="shared" si="122"/>
        <v>10854.80093676815</v>
      </c>
      <c r="L498" s="39">
        <v>1</v>
      </c>
      <c r="M498" s="37">
        <f t="shared" si="121"/>
        <v>1</v>
      </c>
      <c r="N498" s="38"/>
      <c r="O498" s="46"/>
      <c r="P498" s="42"/>
      <c r="Q498" s="38"/>
      <c r="R498" s="38"/>
      <c r="S498" s="38"/>
      <c r="T498" s="38"/>
      <c r="U498" s="37">
        <f t="shared" si="123"/>
        <v>1</v>
      </c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43"/>
      <c r="AH498" s="44"/>
      <c r="AI498" s="45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  <c r="BS498" s="38"/>
      <c r="BT498" s="38"/>
      <c r="BU498" s="38"/>
      <c r="BV498" s="38"/>
      <c r="BW498" s="38"/>
      <c r="BX498" s="38"/>
      <c r="BY498" s="38"/>
      <c r="BZ498" s="38"/>
      <c r="CA498" s="38"/>
      <c r="CB498" s="38"/>
      <c r="CC498" s="38"/>
      <c r="CD498" s="38"/>
      <c r="CE498" s="38"/>
      <c r="CF498" s="38"/>
      <c r="CG498" s="38"/>
      <c r="CH498" s="38"/>
    </row>
    <row r="499" spans="1:86">
      <c r="A499" s="33">
        <v>45783</v>
      </c>
      <c r="B499" s="1" t="s">
        <v>798</v>
      </c>
      <c r="C499" s="1" t="s">
        <v>798</v>
      </c>
      <c r="D499" s="1"/>
      <c r="E499" s="38" t="s">
        <v>245</v>
      </c>
      <c r="F499" s="38">
        <v>60</v>
      </c>
      <c r="G499" s="38" t="s">
        <v>247</v>
      </c>
      <c r="H499" s="38">
        <v>108</v>
      </c>
      <c r="I499" s="38">
        <v>586</v>
      </c>
      <c r="J499" s="11">
        <f t="shared" si="120"/>
        <v>586</v>
      </c>
      <c r="K499" s="5">
        <f t="shared" si="122"/>
        <v>9043.2098765432092</v>
      </c>
      <c r="L499" s="39">
        <v>1</v>
      </c>
      <c r="M499" s="37">
        <f t="shared" si="121"/>
        <v>1</v>
      </c>
      <c r="N499" s="38"/>
      <c r="O499" s="46"/>
      <c r="P499" s="42"/>
      <c r="Q499" s="38"/>
      <c r="R499" s="38"/>
      <c r="S499" s="38"/>
      <c r="T499" s="38"/>
      <c r="U499" s="37">
        <f t="shared" si="123"/>
        <v>1</v>
      </c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43"/>
      <c r="AH499" s="44"/>
      <c r="AI499" s="45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  <c r="BS499" s="38"/>
      <c r="BT499" s="38"/>
      <c r="BU499" s="38"/>
      <c r="BV499" s="38"/>
      <c r="BW499" s="38"/>
      <c r="BX499" s="38"/>
      <c r="BY499" s="38"/>
      <c r="BZ499" s="38"/>
      <c r="CA499" s="38"/>
      <c r="CB499" s="38"/>
      <c r="CC499" s="38"/>
      <c r="CD499" s="38"/>
      <c r="CE499" s="38"/>
      <c r="CF499" s="38"/>
      <c r="CG499" s="38"/>
      <c r="CH499" s="38"/>
    </row>
    <row r="500" spans="1:86">
      <c r="A500" s="33">
        <v>45783</v>
      </c>
      <c r="B500" s="1" t="s">
        <v>419</v>
      </c>
      <c r="C500" s="1" t="s">
        <v>419</v>
      </c>
      <c r="D500" s="1"/>
      <c r="E500" s="38" t="s">
        <v>245</v>
      </c>
      <c r="F500" s="38">
        <v>70</v>
      </c>
      <c r="G500" s="38" t="s">
        <v>247</v>
      </c>
      <c r="H500" s="38">
        <v>103</v>
      </c>
      <c r="I500" s="38">
        <v>1278</v>
      </c>
      <c r="J500" s="11">
        <f t="shared" si="120"/>
        <v>1278</v>
      </c>
      <c r="K500" s="5">
        <f t="shared" si="122"/>
        <v>17725.381414701802</v>
      </c>
      <c r="L500" s="39">
        <v>1</v>
      </c>
      <c r="M500" s="37">
        <f t="shared" si="121"/>
        <v>1</v>
      </c>
      <c r="N500" s="38" t="s">
        <v>248</v>
      </c>
      <c r="O500" s="46">
        <f>J500</f>
        <v>1278</v>
      </c>
      <c r="P500" s="42">
        <f t="shared" ref="P500" si="124">+J500-O500</f>
        <v>0</v>
      </c>
      <c r="Q500" s="38"/>
      <c r="R500" s="38"/>
      <c r="S500" s="38"/>
      <c r="T500" s="38"/>
      <c r="U500" s="37">
        <f t="shared" si="123"/>
        <v>1</v>
      </c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43"/>
      <c r="AH500" s="44"/>
      <c r="AI500" s="45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  <c r="BS500" s="38"/>
      <c r="BT500" s="38"/>
      <c r="BU500" s="38"/>
      <c r="BV500" s="38"/>
      <c r="BW500" s="38"/>
      <c r="BX500" s="38"/>
      <c r="BY500" s="38"/>
      <c r="BZ500" s="38"/>
      <c r="CA500" s="38"/>
      <c r="CB500" s="38"/>
      <c r="CC500" s="38"/>
      <c r="CD500" s="38"/>
      <c r="CE500" s="38"/>
      <c r="CF500" s="38"/>
      <c r="CG500" s="38"/>
      <c r="CH500" s="38"/>
    </row>
    <row r="501" spans="1:86">
      <c r="A501" s="33">
        <v>45783</v>
      </c>
      <c r="B501" s="1" t="s">
        <v>788</v>
      </c>
      <c r="C501" s="1" t="s">
        <v>788</v>
      </c>
      <c r="D501" s="1"/>
      <c r="E501" s="38" t="s">
        <v>245</v>
      </c>
      <c r="F501" s="38">
        <v>55</v>
      </c>
      <c r="G501" s="38" t="s">
        <v>247</v>
      </c>
      <c r="H501" s="38">
        <v>123</v>
      </c>
      <c r="I501" s="38">
        <v>689</v>
      </c>
      <c r="J501" s="11">
        <f t="shared" si="120"/>
        <v>689</v>
      </c>
      <c r="K501" s="5">
        <f t="shared" si="122"/>
        <v>10184.774575018477</v>
      </c>
      <c r="L501" s="39">
        <v>1</v>
      </c>
      <c r="M501" s="37">
        <f t="shared" si="121"/>
        <v>1</v>
      </c>
      <c r="N501" s="38"/>
      <c r="O501" s="46"/>
      <c r="P501" s="42"/>
      <c r="Q501" s="38"/>
      <c r="R501" s="38"/>
      <c r="S501" s="38"/>
      <c r="T501" s="38"/>
      <c r="U501" s="37">
        <f t="shared" si="123"/>
        <v>1</v>
      </c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43"/>
      <c r="AH501" s="44"/>
      <c r="AI501" s="45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  <c r="BS501" s="38"/>
      <c r="BT501" s="38"/>
      <c r="BU501" s="38"/>
      <c r="BV501" s="38"/>
      <c r="BW501" s="38"/>
      <c r="BX501" s="38"/>
      <c r="BY501" s="38"/>
      <c r="BZ501" s="38"/>
      <c r="CA501" s="38"/>
      <c r="CB501" s="38"/>
      <c r="CC501" s="38"/>
      <c r="CD501" s="38"/>
      <c r="CE501" s="38"/>
      <c r="CF501" s="38"/>
      <c r="CG501" s="38"/>
      <c r="CH501" s="38"/>
    </row>
    <row r="502" spans="1:86">
      <c r="A502" s="33">
        <v>45783</v>
      </c>
      <c r="B502" s="1" t="s">
        <v>799</v>
      </c>
      <c r="C502" s="1" t="s">
        <v>799</v>
      </c>
      <c r="D502" s="1"/>
      <c r="E502" s="38" t="s">
        <v>245</v>
      </c>
      <c r="F502" s="38">
        <v>60</v>
      </c>
      <c r="G502" s="38" t="s">
        <v>247</v>
      </c>
      <c r="H502" s="38">
        <v>115</v>
      </c>
      <c r="I502" s="38">
        <v>891</v>
      </c>
      <c r="J502" s="11">
        <f t="shared" si="120"/>
        <v>891</v>
      </c>
      <c r="K502" s="5">
        <f t="shared" si="122"/>
        <v>12913.043478260868</v>
      </c>
      <c r="L502" s="39">
        <v>1</v>
      </c>
      <c r="M502" s="37">
        <f t="shared" si="121"/>
        <v>1</v>
      </c>
      <c r="N502" s="38"/>
      <c r="O502" s="46"/>
      <c r="P502" s="42"/>
      <c r="Q502" s="38"/>
      <c r="R502" s="38"/>
      <c r="S502" s="38"/>
      <c r="T502" s="38"/>
      <c r="U502" s="37">
        <f t="shared" si="123"/>
        <v>1</v>
      </c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43"/>
      <c r="AH502" s="44"/>
      <c r="AI502" s="45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  <c r="BW502" s="38"/>
      <c r="BX502" s="38"/>
      <c r="BY502" s="38"/>
      <c r="BZ502" s="38"/>
      <c r="CA502" s="38"/>
      <c r="CB502" s="38"/>
      <c r="CC502" s="38"/>
      <c r="CD502" s="38"/>
      <c r="CE502" s="38"/>
      <c r="CF502" s="38"/>
      <c r="CG502" s="38"/>
      <c r="CH502" s="38"/>
    </row>
    <row r="503" spans="1:86">
      <c r="A503" s="33">
        <v>45783</v>
      </c>
      <c r="B503" s="1" t="s">
        <v>800</v>
      </c>
      <c r="C503" s="1" t="s">
        <v>800</v>
      </c>
      <c r="D503" s="1"/>
      <c r="E503" s="38" t="s">
        <v>245</v>
      </c>
      <c r="F503" s="38">
        <v>80</v>
      </c>
      <c r="G503" s="38" t="s">
        <v>247</v>
      </c>
      <c r="H503" s="38">
        <v>113</v>
      </c>
      <c r="I503" s="38">
        <v>1088</v>
      </c>
      <c r="J503" s="11">
        <f t="shared" si="120"/>
        <v>1088</v>
      </c>
      <c r="K503" s="5">
        <f t="shared" ref="K503:K514" si="125">+J503/(F503*H503*10^-5)</f>
        <v>12035.398230088495</v>
      </c>
      <c r="L503" s="39">
        <v>1</v>
      </c>
      <c r="M503" s="37">
        <f t="shared" si="121"/>
        <v>1</v>
      </c>
      <c r="N503" s="38"/>
      <c r="O503" s="46"/>
      <c r="P503" s="42">
        <f>+J503-O503</f>
        <v>1088</v>
      </c>
      <c r="Q503" s="38"/>
      <c r="R503" s="38"/>
      <c r="S503" s="38"/>
      <c r="T503" s="38"/>
      <c r="U503" s="37">
        <f t="shared" si="123"/>
        <v>1</v>
      </c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43"/>
      <c r="AH503" s="44"/>
      <c r="AI503" s="45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  <c r="BS503" s="38"/>
      <c r="BT503" s="38"/>
      <c r="BU503" s="38"/>
      <c r="BV503" s="38"/>
      <c r="BW503" s="38"/>
      <c r="BX503" s="38"/>
      <c r="BY503" s="38"/>
      <c r="BZ503" s="38"/>
      <c r="CA503" s="38"/>
      <c r="CB503" s="38"/>
      <c r="CC503" s="38"/>
      <c r="CD503" s="38"/>
      <c r="CE503" s="38"/>
      <c r="CF503" s="38"/>
      <c r="CG503" s="38"/>
      <c r="CH503" s="38"/>
    </row>
    <row r="504" spans="1:86">
      <c r="A504" s="33">
        <v>45783</v>
      </c>
      <c r="B504" s="1" t="s">
        <v>793</v>
      </c>
      <c r="C504" s="1" t="s">
        <v>793</v>
      </c>
      <c r="D504" s="1"/>
      <c r="E504" s="38" t="s">
        <v>245</v>
      </c>
      <c r="F504" s="38">
        <v>60</v>
      </c>
      <c r="G504" s="38" t="s">
        <v>247</v>
      </c>
      <c r="H504" s="38">
        <v>104</v>
      </c>
      <c r="I504" s="38">
        <v>1205</v>
      </c>
      <c r="J504" s="11">
        <f t="shared" si="120"/>
        <v>1205</v>
      </c>
      <c r="K504" s="5">
        <f t="shared" si="125"/>
        <v>19310.897435897434</v>
      </c>
      <c r="L504" s="39">
        <v>1</v>
      </c>
      <c r="M504" s="37">
        <f t="shared" si="121"/>
        <v>1</v>
      </c>
      <c r="N504" s="38"/>
      <c r="O504" s="46"/>
      <c r="P504" s="42"/>
      <c r="Q504" s="38"/>
      <c r="R504" s="38"/>
      <c r="S504" s="38"/>
      <c r="T504" s="38"/>
      <c r="U504" s="37">
        <f t="shared" si="123"/>
        <v>1</v>
      </c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43"/>
      <c r="AH504" s="44"/>
      <c r="AI504" s="45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  <c r="BS504" s="38"/>
      <c r="BT504" s="38"/>
      <c r="BU504" s="38"/>
      <c r="BV504" s="38"/>
      <c r="BW504" s="38"/>
      <c r="BX504" s="38"/>
      <c r="BY504" s="38"/>
      <c r="BZ504" s="38"/>
      <c r="CA504" s="38"/>
      <c r="CB504" s="38"/>
      <c r="CC504" s="38"/>
      <c r="CD504" s="38"/>
      <c r="CE504" s="38"/>
      <c r="CF504" s="38"/>
      <c r="CG504" s="38"/>
      <c r="CH504" s="38"/>
    </row>
    <row r="505" spans="1:86">
      <c r="A505" s="33">
        <v>45783</v>
      </c>
      <c r="B505" s="1" t="s">
        <v>801</v>
      </c>
      <c r="C505" s="1" t="s">
        <v>801</v>
      </c>
      <c r="D505" s="1"/>
      <c r="E505" s="38" t="s">
        <v>245</v>
      </c>
      <c r="F505" s="38">
        <v>65</v>
      </c>
      <c r="G505" s="38" t="s">
        <v>247</v>
      </c>
      <c r="H505" s="38">
        <v>104</v>
      </c>
      <c r="I505" s="38">
        <v>1043</v>
      </c>
      <c r="J505" s="11">
        <f t="shared" si="120"/>
        <v>1043</v>
      </c>
      <c r="K505" s="5">
        <f t="shared" si="125"/>
        <v>15428.994082840234</v>
      </c>
      <c r="L505" s="39">
        <v>1</v>
      </c>
      <c r="M505" s="37">
        <f t="shared" si="121"/>
        <v>1</v>
      </c>
      <c r="N505" s="38"/>
      <c r="O505" s="46"/>
      <c r="P505" s="42"/>
      <c r="Q505" s="38"/>
      <c r="R505" s="38"/>
      <c r="S505" s="38"/>
      <c r="T505" s="38"/>
      <c r="U505" s="37">
        <f t="shared" si="123"/>
        <v>1</v>
      </c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43"/>
      <c r="AH505" s="44"/>
      <c r="AI505" s="45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  <c r="BW505" s="38"/>
      <c r="BX505" s="38"/>
      <c r="BY505" s="38"/>
      <c r="BZ505" s="38"/>
      <c r="CA505" s="38"/>
      <c r="CB505" s="38"/>
      <c r="CC505" s="38"/>
      <c r="CD505" s="38"/>
      <c r="CE505" s="38"/>
      <c r="CF505" s="38"/>
      <c r="CG505" s="38"/>
      <c r="CH505" s="38"/>
    </row>
    <row r="506" spans="1:86">
      <c r="A506" s="33">
        <v>45783</v>
      </c>
      <c r="B506" s="1" t="s">
        <v>801</v>
      </c>
      <c r="C506" s="1" t="s">
        <v>801</v>
      </c>
      <c r="D506" s="1"/>
      <c r="E506" s="38" t="s">
        <v>245</v>
      </c>
      <c r="F506" s="38">
        <v>65</v>
      </c>
      <c r="G506" s="38" t="s">
        <v>247</v>
      </c>
      <c r="H506" s="38">
        <v>104</v>
      </c>
      <c r="I506" s="38">
        <v>1050</v>
      </c>
      <c r="J506" s="11">
        <f t="shared" si="120"/>
        <v>1050</v>
      </c>
      <c r="K506" s="5">
        <f t="shared" si="125"/>
        <v>15532.544378698223</v>
      </c>
      <c r="L506" s="39">
        <v>1</v>
      </c>
      <c r="M506" s="37">
        <f t="shared" si="121"/>
        <v>1</v>
      </c>
      <c r="N506" s="38"/>
      <c r="O506" s="46"/>
      <c r="P506" s="42"/>
      <c r="Q506" s="38"/>
      <c r="R506" s="38"/>
      <c r="S506" s="38"/>
      <c r="T506" s="38"/>
      <c r="U506" s="37">
        <f t="shared" si="123"/>
        <v>1</v>
      </c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43"/>
      <c r="AH506" s="44"/>
      <c r="AI506" s="45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  <c r="BW506" s="38"/>
      <c r="BX506" s="38"/>
      <c r="BY506" s="38"/>
      <c r="BZ506" s="38"/>
      <c r="CA506" s="38"/>
      <c r="CB506" s="38"/>
      <c r="CC506" s="38"/>
      <c r="CD506" s="38"/>
      <c r="CE506" s="38"/>
      <c r="CF506" s="38"/>
      <c r="CG506" s="38"/>
      <c r="CH506" s="38"/>
    </row>
    <row r="507" spans="1:86">
      <c r="A507" s="33">
        <v>45783</v>
      </c>
      <c r="B507" s="1" t="s">
        <v>800</v>
      </c>
      <c r="C507" s="1" t="s">
        <v>800</v>
      </c>
      <c r="D507" s="1"/>
      <c r="E507" s="38" t="s">
        <v>245</v>
      </c>
      <c r="F507" s="38">
        <v>80</v>
      </c>
      <c r="G507" s="38" t="s">
        <v>247</v>
      </c>
      <c r="H507" s="38">
        <v>113</v>
      </c>
      <c r="I507" s="38">
        <v>1075</v>
      </c>
      <c r="J507" s="11">
        <f t="shared" si="120"/>
        <v>1075</v>
      </c>
      <c r="K507" s="5">
        <f t="shared" si="125"/>
        <v>11891.592920353982</v>
      </c>
      <c r="L507" s="39">
        <v>1</v>
      </c>
      <c r="M507" s="37">
        <f t="shared" si="121"/>
        <v>1</v>
      </c>
      <c r="N507" s="38"/>
      <c r="O507" s="46"/>
      <c r="P507" s="42">
        <f>+J507-O507</f>
        <v>1075</v>
      </c>
      <c r="Q507" s="38"/>
      <c r="R507" s="38"/>
      <c r="S507" s="38"/>
      <c r="T507" s="38"/>
      <c r="U507" s="37">
        <f t="shared" si="123"/>
        <v>1</v>
      </c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43"/>
      <c r="AH507" s="44"/>
      <c r="AI507" s="45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  <c r="BS507" s="38"/>
      <c r="BT507" s="38"/>
      <c r="BU507" s="38"/>
      <c r="BV507" s="38"/>
      <c r="BW507" s="38"/>
      <c r="BX507" s="38"/>
      <c r="BY507" s="38"/>
      <c r="BZ507" s="38"/>
      <c r="CA507" s="38"/>
      <c r="CB507" s="38"/>
      <c r="CC507" s="38"/>
      <c r="CD507" s="38"/>
      <c r="CE507" s="38"/>
      <c r="CF507" s="38"/>
      <c r="CG507" s="38"/>
      <c r="CH507" s="38"/>
    </row>
    <row r="508" spans="1:86">
      <c r="A508" s="33">
        <v>45783</v>
      </c>
      <c r="B508" s="1" t="s">
        <v>802</v>
      </c>
      <c r="C508" s="1" t="s">
        <v>802</v>
      </c>
      <c r="D508" s="1"/>
      <c r="E508" s="38" t="s">
        <v>245</v>
      </c>
      <c r="F508" s="38">
        <v>70</v>
      </c>
      <c r="G508" s="38" t="s">
        <v>247</v>
      </c>
      <c r="H508" s="38">
        <v>113</v>
      </c>
      <c r="I508" s="38">
        <v>795</v>
      </c>
      <c r="J508" s="11">
        <f t="shared" si="120"/>
        <v>795</v>
      </c>
      <c r="K508" s="5">
        <f t="shared" si="125"/>
        <v>10050.568900126422</v>
      </c>
      <c r="L508" s="39">
        <v>1</v>
      </c>
      <c r="M508" s="37">
        <f t="shared" si="121"/>
        <v>1</v>
      </c>
      <c r="N508" s="38"/>
      <c r="O508" s="46"/>
      <c r="P508" s="42"/>
      <c r="Q508" s="38"/>
      <c r="R508" s="38"/>
      <c r="S508" s="38"/>
      <c r="T508" s="38"/>
      <c r="U508" s="37">
        <f t="shared" si="123"/>
        <v>1</v>
      </c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43"/>
      <c r="AH508" s="44"/>
      <c r="AI508" s="45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  <c r="BS508" s="38"/>
      <c r="BT508" s="38"/>
      <c r="BU508" s="38"/>
      <c r="BV508" s="38"/>
      <c r="BW508" s="38"/>
      <c r="BX508" s="38"/>
      <c r="BY508" s="38"/>
      <c r="BZ508" s="38"/>
      <c r="CA508" s="38"/>
      <c r="CB508" s="38"/>
      <c r="CC508" s="38"/>
      <c r="CD508" s="38"/>
      <c r="CE508" s="38"/>
      <c r="CF508" s="38"/>
      <c r="CG508" s="38"/>
      <c r="CH508" s="38"/>
    </row>
    <row r="509" spans="1:86">
      <c r="A509" s="33">
        <v>45783</v>
      </c>
      <c r="B509" s="1" t="s">
        <v>802</v>
      </c>
      <c r="C509" s="1" t="s">
        <v>802</v>
      </c>
      <c r="D509" s="1"/>
      <c r="E509" s="38" t="s">
        <v>245</v>
      </c>
      <c r="F509" s="38">
        <v>70</v>
      </c>
      <c r="G509" s="38" t="s">
        <v>247</v>
      </c>
      <c r="H509" s="38">
        <v>113</v>
      </c>
      <c r="I509" s="38">
        <v>789</v>
      </c>
      <c r="J509" s="11">
        <f t="shared" si="120"/>
        <v>789</v>
      </c>
      <c r="K509" s="5">
        <f t="shared" si="125"/>
        <v>9974.7155499367891</v>
      </c>
      <c r="L509" s="39">
        <v>1</v>
      </c>
      <c r="M509" s="37">
        <f t="shared" si="121"/>
        <v>1</v>
      </c>
      <c r="N509" s="38"/>
      <c r="O509" s="46"/>
      <c r="P509" s="42"/>
      <c r="Q509" s="38"/>
      <c r="R509" s="38"/>
      <c r="S509" s="38"/>
      <c r="T509" s="38"/>
      <c r="U509" s="37">
        <f t="shared" si="123"/>
        <v>1</v>
      </c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43"/>
      <c r="AH509" s="44"/>
      <c r="AI509" s="45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  <c r="BS509" s="38"/>
      <c r="BT509" s="38"/>
      <c r="BU509" s="38"/>
      <c r="BV509" s="38"/>
      <c r="BW509" s="38"/>
      <c r="BX509" s="38"/>
      <c r="BY509" s="38"/>
      <c r="BZ509" s="38"/>
      <c r="CA509" s="38"/>
      <c r="CB509" s="38"/>
      <c r="CC509" s="38"/>
      <c r="CD509" s="38"/>
      <c r="CE509" s="38"/>
      <c r="CF509" s="38"/>
      <c r="CG509" s="38"/>
      <c r="CH509" s="38"/>
    </row>
    <row r="510" spans="1:86">
      <c r="A510" s="33">
        <v>45783</v>
      </c>
      <c r="B510" s="1" t="s">
        <v>409</v>
      </c>
      <c r="C510" s="1" t="s">
        <v>409</v>
      </c>
      <c r="D510" s="1"/>
      <c r="E510" s="38" t="s">
        <v>245</v>
      </c>
      <c r="F510" s="38">
        <v>65</v>
      </c>
      <c r="G510" s="38" t="s">
        <v>247</v>
      </c>
      <c r="H510" s="38">
        <v>104</v>
      </c>
      <c r="I510" s="38">
        <v>1167</v>
      </c>
      <c r="J510" s="11">
        <f t="shared" si="120"/>
        <v>1167</v>
      </c>
      <c r="K510" s="5">
        <f t="shared" si="125"/>
        <v>17263.313609467456</v>
      </c>
      <c r="L510" s="39">
        <v>1</v>
      </c>
      <c r="M510" s="37">
        <f t="shared" si="121"/>
        <v>1</v>
      </c>
      <c r="N510" s="38"/>
      <c r="O510" s="46"/>
      <c r="P510" s="42"/>
      <c r="Q510" s="38"/>
      <c r="R510" s="38"/>
      <c r="S510" s="38"/>
      <c r="T510" s="38"/>
      <c r="U510" s="37">
        <f t="shared" si="123"/>
        <v>1</v>
      </c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43"/>
      <c r="AH510" s="44"/>
      <c r="AI510" s="45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  <c r="BS510" s="38"/>
      <c r="BT510" s="38"/>
      <c r="BU510" s="38"/>
      <c r="BV510" s="38"/>
      <c r="BW510" s="38"/>
      <c r="BX510" s="38"/>
      <c r="BY510" s="38"/>
      <c r="BZ510" s="38"/>
      <c r="CA510" s="38"/>
      <c r="CB510" s="38"/>
      <c r="CC510" s="38"/>
      <c r="CD510" s="38"/>
      <c r="CE510" s="38"/>
      <c r="CF510" s="38"/>
      <c r="CG510" s="38"/>
      <c r="CH510" s="38"/>
    </row>
    <row r="511" spans="1:86">
      <c r="A511" s="33">
        <v>45783</v>
      </c>
      <c r="B511" s="1" t="s">
        <v>803</v>
      </c>
      <c r="C511" s="1" t="s">
        <v>803</v>
      </c>
      <c r="D511" s="1"/>
      <c r="E511" s="38" t="s">
        <v>245</v>
      </c>
      <c r="F511" s="38">
        <v>70</v>
      </c>
      <c r="G511" s="38" t="s">
        <v>247</v>
      </c>
      <c r="H511" s="38">
        <v>98</v>
      </c>
      <c r="I511" s="38">
        <v>865</v>
      </c>
      <c r="J511" s="11">
        <f t="shared" si="120"/>
        <v>865</v>
      </c>
      <c r="K511" s="5">
        <f t="shared" si="125"/>
        <v>12609.329446064139</v>
      </c>
      <c r="L511" s="39">
        <v>1</v>
      </c>
      <c r="M511" s="37">
        <f t="shared" si="121"/>
        <v>1</v>
      </c>
      <c r="N511" s="38" t="s">
        <v>248</v>
      </c>
      <c r="O511" s="46">
        <f>J511</f>
        <v>865</v>
      </c>
      <c r="P511" s="42">
        <f t="shared" ref="P511" si="126">+J511-O511</f>
        <v>0</v>
      </c>
      <c r="Q511" s="38"/>
      <c r="R511" s="38"/>
      <c r="S511" s="38"/>
      <c r="T511" s="38"/>
      <c r="U511" s="37">
        <f t="shared" si="123"/>
        <v>1</v>
      </c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43"/>
      <c r="AH511" s="44"/>
      <c r="AI511" s="45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  <c r="BS511" s="38"/>
      <c r="BT511" s="38"/>
      <c r="BU511" s="38"/>
      <c r="BV511" s="38"/>
      <c r="BW511" s="38"/>
      <c r="BX511" s="38"/>
      <c r="BY511" s="38"/>
      <c r="BZ511" s="38"/>
      <c r="CA511" s="38"/>
      <c r="CB511" s="38"/>
      <c r="CC511" s="38"/>
      <c r="CD511" s="38"/>
      <c r="CE511" s="38"/>
      <c r="CF511" s="38"/>
      <c r="CG511" s="38"/>
      <c r="CH511" s="38"/>
    </row>
    <row r="512" spans="1:86">
      <c r="A512" s="33">
        <v>45783</v>
      </c>
      <c r="B512" s="1" t="s">
        <v>380</v>
      </c>
      <c r="C512" s="1" t="s">
        <v>380</v>
      </c>
      <c r="D512" s="1"/>
      <c r="E512" s="38" t="s">
        <v>245</v>
      </c>
      <c r="F512" s="38">
        <v>70</v>
      </c>
      <c r="G512" s="38" t="s">
        <v>247</v>
      </c>
      <c r="H512" s="38">
        <v>105</v>
      </c>
      <c r="I512" s="38">
        <v>561</v>
      </c>
      <c r="J512" s="11">
        <f t="shared" si="120"/>
        <v>561</v>
      </c>
      <c r="K512" s="5">
        <f t="shared" si="125"/>
        <v>7632.6530612244887</v>
      </c>
      <c r="L512" s="39">
        <v>1</v>
      </c>
      <c r="M512" s="37">
        <f t="shared" si="121"/>
        <v>1</v>
      </c>
      <c r="N512" s="38"/>
      <c r="O512" s="46"/>
      <c r="P512" s="42"/>
      <c r="Q512" s="38"/>
      <c r="R512" s="38"/>
      <c r="S512" s="38"/>
      <c r="T512" s="38"/>
      <c r="U512" s="37">
        <f t="shared" si="123"/>
        <v>1</v>
      </c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43"/>
      <c r="AH512" s="44"/>
      <c r="AI512" s="45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  <c r="BS512" s="38"/>
      <c r="BT512" s="38"/>
      <c r="BU512" s="38"/>
      <c r="BV512" s="38"/>
      <c r="BW512" s="38"/>
      <c r="BX512" s="38"/>
      <c r="BY512" s="38"/>
      <c r="BZ512" s="38"/>
      <c r="CA512" s="38"/>
      <c r="CB512" s="38"/>
      <c r="CC512" s="38"/>
      <c r="CD512" s="38"/>
      <c r="CE512" s="38"/>
      <c r="CF512" s="38"/>
      <c r="CG512" s="38"/>
      <c r="CH512" s="38"/>
    </row>
    <row r="513" spans="1:86">
      <c r="A513" s="33">
        <v>45783</v>
      </c>
      <c r="B513" s="1" t="s">
        <v>804</v>
      </c>
      <c r="C513" s="1" t="s">
        <v>804</v>
      </c>
      <c r="D513" s="1"/>
      <c r="E513" s="38" t="s">
        <v>245</v>
      </c>
      <c r="F513" s="38">
        <v>70</v>
      </c>
      <c r="G513" s="38" t="s">
        <v>247</v>
      </c>
      <c r="H513" s="38">
        <v>36</v>
      </c>
      <c r="I513" s="38">
        <v>382</v>
      </c>
      <c r="J513" s="11">
        <f t="shared" si="120"/>
        <v>382</v>
      </c>
      <c r="K513" s="5">
        <f t="shared" si="125"/>
        <v>15158.730158730157</v>
      </c>
      <c r="L513" s="39">
        <v>1</v>
      </c>
      <c r="M513" s="37">
        <f t="shared" si="121"/>
        <v>1</v>
      </c>
      <c r="N513" s="38"/>
      <c r="O513" s="46"/>
      <c r="P513" s="42"/>
      <c r="Q513" s="38"/>
      <c r="R513" s="38"/>
      <c r="S513" s="38"/>
      <c r="T513" s="38"/>
      <c r="U513" s="37">
        <f t="shared" si="123"/>
        <v>1</v>
      </c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43"/>
      <c r="AH513" s="44"/>
      <c r="AI513" s="45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  <c r="BS513" s="38"/>
      <c r="BT513" s="38"/>
      <c r="BU513" s="38"/>
      <c r="BV513" s="38"/>
      <c r="BW513" s="38"/>
      <c r="BX513" s="38"/>
      <c r="BY513" s="38"/>
      <c r="BZ513" s="38"/>
      <c r="CA513" s="38"/>
      <c r="CB513" s="38"/>
      <c r="CC513" s="38"/>
      <c r="CD513" s="38"/>
      <c r="CE513" s="38"/>
      <c r="CF513" s="38"/>
      <c r="CG513" s="38"/>
      <c r="CH513" s="38"/>
    </row>
    <row r="514" spans="1:86">
      <c r="A514" s="33">
        <v>45783</v>
      </c>
      <c r="B514" s="1" t="s">
        <v>805</v>
      </c>
      <c r="C514" s="1" t="s">
        <v>805</v>
      </c>
      <c r="D514" s="1"/>
      <c r="E514" s="38" t="s">
        <v>245</v>
      </c>
      <c r="F514" s="38">
        <v>85</v>
      </c>
      <c r="G514" s="38" t="s">
        <v>247</v>
      </c>
      <c r="H514" s="38">
        <v>122</v>
      </c>
      <c r="I514" s="38">
        <v>1116</v>
      </c>
      <c r="J514" s="11">
        <f t="shared" si="120"/>
        <v>1116</v>
      </c>
      <c r="K514" s="5">
        <f t="shared" si="125"/>
        <v>10761.812921890067</v>
      </c>
      <c r="L514" s="39">
        <v>1</v>
      </c>
      <c r="M514" s="37">
        <f t="shared" si="121"/>
        <v>1</v>
      </c>
      <c r="N514" s="38"/>
      <c r="O514" s="46"/>
      <c r="P514" s="42">
        <f>+J514-O514</f>
        <v>1116</v>
      </c>
      <c r="Q514" s="38"/>
      <c r="R514" s="38"/>
      <c r="S514" s="38"/>
      <c r="T514" s="38"/>
      <c r="U514" s="37">
        <f t="shared" si="123"/>
        <v>1</v>
      </c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43"/>
      <c r="AH514" s="44"/>
      <c r="AI514" s="45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  <c r="BS514" s="38"/>
      <c r="BT514" s="38"/>
      <c r="BU514" s="38"/>
      <c r="BV514" s="38"/>
      <c r="BW514" s="38"/>
      <c r="BX514" s="38"/>
      <c r="BY514" s="38"/>
      <c r="BZ514" s="38"/>
      <c r="CA514" s="38"/>
      <c r="CB514" s="38"/>
      <c r="CC514" s="38"/>
      <c r="CD514" s="38"/>
      <c r="CE514" s="38"/>
      <c r="CF514" s="38"/>
      <c r="CG514" s="38"/>
      <c r="CH514" s="38"/>
    </row>
    <row r="515" spans="1:86">
      <c r="A515" s="33"/>
      <c r="B515" s="1" t="s">
        <v>806</v>
      </c>
      <c r="C515" s="1" t="s">
        <v>806</v>
      </c>
      <c r="D515" s="1"/>
      <c r="E515" s="38" t="s">
        <v>83</v>
      </c>
      <c r="F515" s="38">
        <v>100</v>
      </c>
      <c r="G515" s="38" t="s">
        <v>259</v>
      </c>
      <c r="H515" s="38">
        <v>101</v>
      </c>
      <c r="I515" s="38">
        <v>505</v>
      </c>
      <c r="J515" s="11">
        <f t="shared" si="120"/>
        <v>3535</v>
      </c>
      <c r="K515" s="5">
        <f t="shared" ref="K515" si="127">+J515/(F515*H515*10^-5)</f>
        <v>35000</v>
      </c>
      <c r="L515" s="39">
        <v>7</v>
      </c>
      <c r="M515" s="37">
        <f t="shared" ref="M515" si="128">+L515-X515-Z515-AD515-AB515-AF515-AH515-AJ515-AL515-AO515-AQ515-AS515-AU515-AW515-AY515-BA515-BC515-BE515-BG515-BI515-BK515-BM515-BO515-BQ515-BS515-BU515-BW515-BY515-CA515-CC515-CE515-CG515</f>
        <v>7</v>
      </c>
      <c r="N515" s="38"/>
      <c r="O515" s="46"/>
      <c r="P515" s="42"/>
      <c r="Q515" s="38"/>
      <c r="R515" s="38"/>
      <c r="S515" s="38"/>
      <c r="T515" s="38"/>
      <c r="U515" s="37">
        <f t="shared" ref="U515" si="129">+L515-X515-Z515-AD515-AB515-AF515-AH515-AJ515-AL515-AO515-AQ515-AS515-AU515-AW515-AY515-BA515-BC515-BE515-BG515-BI515-BK515-BM515-BO515-BQ515-BS515-BU515-BW515-BY515-CA515-CC515-CE515-CG515</f>
        <v>7</v>
      </c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43"/>
      <c r="AH515" s="44"/>
      <c r="AI515" s="45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  <c r="BS515" s="38"/>
      <c r="BT515" s="38"/>
      <c r="BU515" s="38"/>
      <c r="BV515" s="38"/>
      <c r="BW515" s="38"/>
      <c r="BX515" s="38"/>
      <c r="BY515" s="38"/>
      <c r="BZ515" s="38"/>
      <c r="CA515" s="38"/>
      <c r="CB515" s="38"/>
      <c r="CC515" s="38"/>
      <c r="CD515" s="38"/>
      <c r="CE515" s="38"/>
      <c r="CF515" s="38"/>
      <c r="CG515" s="38"/>
      <c r="CH515" s="38"/>
    </row>
    <row r="516" spans="1:86">
      <c r="A516" s="33" t="s">
        <v>807</v>
      </c>
      <c r="B516" s="1" t="s">
        <v>808</v>
      </c>
      <c r="C516" s="1" t="s">
        <v>808</v>
      </c>
      <c r="D516" s="1"/>
      <c r="E516" s="38" t="s">
        <v>41</v>
      </c>
      <c r="F516" s="38">
        <v>120</v>
      </c>
      <c r="G516" s="38" t="s">
        <v>590</v>
      </c>
      <c r="H516" s="38">
        <v>123</v>
      </c>
      <c r="I516" s="38">
        <v>1131</v>
      </c>
      <c r="J516" s="11">
        <f t="shared" ref="J516:J517" si="130">IFERROR(IF(AND(V516=3,U516&gt;0),I516,I516*U516),"Verify")</f>
        <v>1131</v>
      </c>
      <c r="K516" s="5">
        <f t="shared" ref="K516:K517" si="131">+J516/(F516*H516*10^-5)</f>
        <v>7662.6016260162596</v>
      </c>
      <c r="L516" s="39">
        <v>1</v>
      </c>
      <c r="M516" s="37">
        <f t="shared" ref="M516:M517" si="132">+L516-X516-Z516-AD516-AB516-AF516-AH516-AJ516-AL516-AO516-AQ516-AS516-AU516-AW516-AY516-BA516-BC516-BE516-BG516-BI516-BK516-BM516-BO516-BQ516-BS516-BU516-BW516-BY516-CA516-CC516-CE516-CG516</f>
        <v>1</v>
      </c>
      <c r="N516" s="38"/>
      <c r="O516" s="46"/>
      <c r="P516" s="42"/>
      <c r="Q516" s="38"/>
      <c r="R516" s="38"/>
      <c r="S516" s="38"/>
      <c r="T516" s="38"/>
      <c r="U516" s="37">
        <f t="shared" ref="U516:U517" si="133">+L516-X516-Z516-AD516-AB516-AF516-AH516-AJ516-AL516-AO516-AQ516-AS516-AU516-AW516-AY516-BA516-BC516-BE516-BG516-BI516-BK516-BM516-BO516-BQ516-BS516-BU516-BW516-BY516-CA516-CC516-CE516-CG516</f>
        <v>1</v>
      </c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43"/>
      <c r="AH516" s="44"/>
      <c r="AI516" s="45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  <c r="BS516" s="38"/>
      <c r="BT516" s="38"/>
      <c r="BU516" s="38"/>
      <c r="BV516" s="38"/>
      <c r="BW516" s="38"/>
      <c r="BX516" s="38"/>
      <c r="BY516" s="38"/>
      <c r="BZ516" s="38"/>
      <c r="CA516" s="38"/>
      <c r="CB516" s="38"/>
      <c r="CC516" s="38"/>
      <c r="CD516" s="38"/>
      <c r="CE516" s="38"/>
      <c r="CF516" s="38"/>
      <c r="CG516" s="38"/>
      <c r="CH516" s="38"/>
    </row>
    <row r="517" spans="1:86">
      <c r="A517" s="33" t="s">
        <v>807</v>
      </c>
      <c r="B517" s="1"/>
      <c r="C517" s="1" t="s">
        <v>809</v>
      </c>
      <c r="D517" s="1"/>
      <c r="E517" s="38" t="s">
        <v>41</v>
      </c>
      <c r="F517" s="38">
        <v>120</v>
      </c>
      <c r="G517" s="38" t="s">
        <v>590</v>
      </c>
      <c r="H517" s="38">
        <v>125</v>
      </c>
      <c r="I517" s="38">
        <v>1151</v>
      </c>
      <c r="J517" s="11">
        <f t="shared" si="130"/>
        <v>1151</v>
      </c>
      <c r="K517" s="5">
        <f t="shared" si="131"/>
        <v>7673.3333333333321</v>
      </c>
      <c r="L517" s="39">
        <v>1</v>
      </c>
      <c r="M517" s="37">
        <f t="shared" si="132"/>
        <v>1</v>
      </c>
      <c r="N517" s="38"/>
      <c r="O517" s="46"/>
      <c r="P517" s="42"/>
      <c r="Q517" s="38"/>
      <c r="R517" s="38"/>
      <c r="S517" s="38"/>
      <c r="T517" s="38"/>
      <c r="U517" s="37">
        <f t="shared" si="133"/>
        <v>1</v>
      </c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43"/>
      <c r="AH517" s="44"/>
      <c r="AI517" s="45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  <c r="BW517" s="38"/>
      <c r="BX517" s="38"/>
      <c r="BY517" s="38"/>
      <c r="BZ517" s="38"/>
      <c r="CA517" s="38"/>
      <c r="CB517" s="38"/>
      <c r="CC517" s="38"/>
      <c r="CD517" s="38"/>
      <c r="CE517" s="38"/>
      <c r="CF517" s="38"/>
      <c r="CG517" s="38"/>
      <c r="CH517" s="38"/>
    </row>
    <row r="518" spans="1:86">
      <c r="A518" s="33">
        <v>45910</v>
      </c>
      <c r="B518" s="1" t="s">
        <v>811</v>
      </c>
      <c r="C518" s="1" t="s">
        <v>811</v>
      </c>
      <c r="D518" s="1"/>
      <c r="E518" s="38" t="s">
        <v>50</v>
      </c>
      <c r="F518" s="38">
        <v>110</v>
      </c>
      <c r="G518" s="38" t="s">
        <v>590</v>
      </c>
      <c r="H518" s="38">
        <v>87</v>
      </c>
      <c r="I518" s="38">
        <v>921</v>
      </c>
      <c r="J518" s="11">
        <f t="shared" ref="J518:J525" si="134">IFERROR(IF(AND(V518=3,U518&gt;0),I518,I518*U518),"Verify")</f>
        <v>1842</v>
      </c>
      <c r="K518" s="5">
        <f t="shared" ref="K518:K519" si="135">+J518/(F518*H518*10^-5)</f>
        <v>19247.648902821315</v>
      </c>
      <c r="L518" s="39">
        <v>2</v>
      </c>
      <c r="M518" s="37">
        <f t="shared" ref="M518:M519" si="136">+L518-X518-Z518-AD518-AB518-AF518-AH518-AJ518-AL518-AO518-AQ518-AS518-AU518-AW518-AY518-BA518-BC518-BE518-BG518-BI518-BK518-BM518-BO518-BQ518-BS518-BU518-BW518-BY518-CA518-CC518-CE518-CG518</f>
        <v>2</v>
      </c>
      <c r="N518" s="38"/>
      <c r="O518" s="46"/>
      <c r="P518" s="42"/>
      <c r="Q518" s="38"/>
      <c r="R518" s="38"/>
      <c r="S518" s="38"/>
      <c r="T518" s="38"/>
      <c r="U518" s="37">
        <f t="shared" ref="U518:U519" si="137">+L518-X518-Z518-AD518-AB518-AF518-AH518-AJ518-AL518-AO518-AQ518-AS518-AU518-AW518-AY518-BA518-BC518-BE518-BG518-BI518-BK518-BM518-BO518-BQ518-BS518-BU518-BW518-BY518-CA518-CC518-CE518-CG518</f>
        <v>2</v>
      </c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43"/>
      <c r="AH518" s="44"/>
      <c r="AI518" s="45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  <c r="CH518" s="38"/>
    </row>
    <row r="519" spans="1:86">
      <c r="A519" s="33">
        <v>45910</v>
      </c>
      <c r="B519" s="1" t="s">
        <v>811</v>
      </c>
      <c r="C519" s="1" t="s">
        <v>811</v>
      </c>
      <c r="D519" s="1"/>
      <c r="E519" s="38" t="s">
        <v>50</v>
      </c>
      <c r="F519" s="38">
        <v>110</v>
      </c>
      <c r="G519" s="38" t="s">
        <v>590</v>
      </c>
      <c r="H519" s="38">
        <v>87</v>
      </c>
      <c r="I519" s="38">
        <v>912</v>
      </c>
      <c r="J519" s="11">
        <f t="shared" si="134"/>
        <v>912</v>
      </c>
      <c r="K519" s="5">
        <f t="shared" si="135"/>
        <v>9529.780564263323</v>
      </c>
      <c r="L519" s="39">
        <v>1</v>
      </c>
      <c r="M519" s="37">
        <f t="shared" si="136"/>
        <v>1</v>
      </c>
      <c r="N519" s="38"/>
      <c r="O519" s="46"/>
      <c r="P519" s="42"/>
      <c r="Q519" s="38"/>
      <c r="R519" s="38"/>
      <c r="S519" s="38"/>
      <c r="T519" s="38"/>
      <c r="U519" s="37">
        <f t="shared" si="137"/>
        <v>1</v>
      </c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43"/>
      <c r="AH519" s="44"/>
      <c r="AI519" s="45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  <c r="BS519" s="38"/>
      <c r="BT519" s="38"/>
      <c r="BU519" s="38"/>
      <c r="BV519" s="38"/>
      <c r="BW519" s="38"/>
      <c r="BX519" s="38"/>
      <c r="BY519" s="38"/>
      <c r="BZ519" s="38"/>
      <c r="CA519" s="38"/>
      <c r="CB519" s="38"/>
      <c r="CC519" s="38"/>
      <c r="CD519" s="38"/>
      <c r="CE519" s="38"/>
      <c r="CF519" s="38"/>
      <c r="CG519" s="38"/>
      <c r="CH519" s="38"/>
    </row>
    <row r="520" spans="1:86">
      <c r="A520" s="33">
        <v>45911</v>
      </c>
      <c r="B520" s="1" t="s">
        <v>812</v>
      </c>
      <c r="C520" s="1" t="s">
        <v>812</v>
      </c>
      <c r="D520" s="1"/>
      <c r="E520" s="38" t="s">
        <v>50</v>
      </c>
      <c r="F520" s="38">
        <v>140</v>
      </c>
      <c r="G520" s="38" t="s">
        <v>590</v>
      </c>
      <c r="H520" s="38">
        <v>97</v>
      </c>
      <c r="I520" s="38">
        <v>1073</v>
      </c>
      <c r="J520" s="11">
        <f t="shared" si="134"/>
        <v>1073</v>
      </c>
      <c r="K520" s="5">
        <f t="shared" ref="K520:K523" si="138">+J520/(F520*H520*10^-5)</f>
        <v>7901.3254786450661</v>
      </c>
      <c r="L520" s="39">
        <v>1</v>
      </c>
      <c r="M520" s="37">
        <f t="shared" ref="M520:M523" si="139">+L520-X520-Z520-AD520-AB520-AF520-AH520-AJ520-AL520-AO520-AQ520-AS520-AU520-AW520-AY520-BA520-BC520-BE520-BG520-BI520-BK520-BM520-BO520-BQ520-BS520-BU520-BW520-BY520-CA520-CC520-CE520-CG520</f>
        <v>1</v>
      </c>
      <c r="N520" s="38"/>
      <c r="O520" s="46"/>
      <c r="P520" s="42"/>
      <c r="Q520" s="38"/>
      <c r="R520" s="38"/>
      <c r="S520" s="38"/>
      <c r="T520" s="38"/>
      <c r="U520" s="37">
        <f t="shared" ref="U520:U523" si="140">+L520-X520-Z520-AD520-AB520-AF520-AH520-AJ520-AL520-AO520-AQ520-AS520-AU520-AW520-AY520-BA520-BC520-BE520-BG520-BI520-BK520-BM520-BO520-BQ520-BS520-BU520-BW520-BY520-CA520-CC520-CE520-CG520</f>
        <v>1</v>
      </c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43"/>
      <c r="AH520" s="44"/>
      <c r="AI520" s="45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  <c r="BS520" s="38"/>
      <c r="BT520" s="38"/>
      <c r="BU520" s="38"/>
      <c r="BV520" s="38"/>
      <c r="BW520" s="38"/>
      <c r="BX520" s="38"/>
      <c r="BY520" s="38"/>
      <c r="BZ520" s="38"/>
      <c r="CA520" s="38"/>
      <c r="CB520" s="38"/>
      <c r="CC520" s="38"/>
      <c r="CD520" s="38"/>
      <c r="CE520" s="38"/>
      <c r="CF520" s="38"/>
      <c r="CG520" s="38"/>
      <c r="CH520" s="38"/>
    </row>
    <row r="521" spans="1:86">
      <c r="A521" s="33">
        <v>45911</v>
      </c>
      <c r="B521" s="1" t="s">
        <v>812</v>
      </c>
      <c r="C521" s="1" t="s">
        <v>812</v>
      </c>
      <c r="D521" s="1"/>
      <c r="E521" s="38" t="s">
        <v>50</v>
      </c>
      <c r="F521" s="38">
        <v>140</v>
      </c>
      <c r="G521" s="38" t="s">
        <v>590</v>
      </c>
      <c r="H521" s="38">
        <v>97</v>
      </c>
      <c r="I521" s="38">
        <v>1083</v>
      </c>
      <c r="J521" s="11">
        <f t="shared" si="134"/>
        <v>1083</v>
      </c>
      <c r="K521" s="5">
        <f t="shared" si="138"/>
        <v>7974.9631811487479</v>
      </c>
      <c r="L521" s="39">
        <v>1</v>
      </c>
      <c r="M521" s="37">
        <f t="shared" si="139"/>
        <v>1</v>
      </c>
      <c r="N521" s="38"/>
      <c r="O521" s="46"/>
      <c r="P521" s="42"/>
      <c r="Q521" s="38"/>
      <c r="R521" s="38"/>
      <c r="S521" s="38"/>
      <c r="T521" s="38"/>
      <c r="U521" s="37">
        <f t="shared" si="140"/>
        <v>1</v>
      </c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43"/>
      <c r="AH521" s="44"/>
      <c r="AI521" s="45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  <c r="BS521" s="38"/>
      <c r="BT521" s="38"/>
      <c r="BU521" s="38"/>
      <c r="BV521" s="38"/>
      <c r="BW521" s="38"/>
      <c r="BX521" s="38"/>
      <c r="BY521" s="38"/>
      <c r="BZ521" s="38"/>
      <c r="CA521" s="38"/>
      <c r="CB521" s="38"/>
      <c r="CC521" s="38"/>
      <c r="CD521" s="38"/>
      <c r="CE521" s="38"/>
      <c r="CF521" s="38"/>
      <c r="CG521" s="38"/>
      <c r="CH521" s="38"/>
    </row>
    <row r="522" spans="1:86">
      <c r="A522" s="33">
        <v>45911</v>
      </c>
      <c r="B522" s="1" t="s">
        <v>812</v>
      </c>
      <c r="C522" s="1" t="s">
        <v>812</v>
      </c>
      <c r="D522" s="1"/>
      <c r="E522" s="38" t="s">
        <v>50</v>
      </c>
      <c r="F522" s="38">
        <v>140</v>
      </c>
      <c r="G522" s="38" t="s">
        <v>590</v>
      </c>
      <c r="H522" s="38">
        <v>97</v>
      </c>
      <c r="I522" s="38">
        <v>1080</v>
      </c>
      <c r="J522" s="11">
        <f t="shared" si="134"/>
        <v>2160</v>
      </c>
      <c r="K522" s="5">
        <f t="shared" si="138"/>
        <v>15905.743740795288</v>
      </c>
      <c r="L522" s="39">
        <v>2</v>
      </c>
      <c r="M522" s="37">
        <f t="shared" si="139"/>
        <v>2</v>
      </c>
      <c r="N522" s="38"/>
      <c r="O522" s="46"/>
      <c r="P522" s="42"/>
      <c r="Q522" s="38"/>
      <c r="R522" s="38"/>
      <c r="S522" s="38"/>
      <c r="T522" s="38"/>
      <c r="U522" s="37">
        <f t="shared" si="140"/>
        <v>2</v>
      </c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43"/>
      <c r="AH522" s="44"/>
      <c r="AI522" s="45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  <c r="BS522" s="38"/>
      <c r="BT522" s="38"/>
      <c r="BU522" s="38"/>
      <c r="BV522" s="38"/>
      <c r="BW522" s="38"/>
      <c r="BX522" s="38"/>
      <c r="BY522" s="38"/>
      <c r="BZ522" s="38"/>
      <c r="CA522" s="38"/>
      <c r="CB522" s="38"/>
      <c r="CC522" s="38"/>
      <c r="CD522" s="38"/>
      <c r="CE522" s="38"/>
      <c r="CF522" s="38"/>
      <c r="CG522" s="38"/>
      <c r="CH522" s="38"/>
    </row>
    <row r="523" spans="1:86">
      <c r="A523" s="33">
        <v>45911</v>
      </c>
      <c r="B523" s="1" t="s">
        <v>812</v>
      </c>
      <c r="C523" s="1" t="s">
        <v>812</v>
      </c>
      <c r="D523" s="1"/>
      <c r="E523" s="38" t="s">
        <v>50</v>
      </c>
      <c r="F523" s="38">
        <v>140</v>
      </c>
      <c r="G523" s="38" t="s">
        <v>590</v>
      </c>
      <c r="H523" s="38">
        <v>97</v>
      </c>
      <c r="I523" s="38">
        <v>1079</v>
      </c>
      <c r="J523" s="11">
        <f t="shared" si="134"/>
        <v>1079</v>
      </c>
      <c r="K523" s="5">
        <f t="shared" si="138"/>
        <v>7945.5081001472754</v>
      </c>
      <c r="L523" s="39">
        <v>1</v>
      </c>
      <c r="M523" s="37">
        <f t="shared" si="139"/>
        <v>1</v>
      </c>
      <c r="N523" s="38"/>
      <c r="O523" s="46"/>
      <c r="P523" s="42"/>
      <c r="Q523" s="38"/>
      <c r="R523" s="38"/>
      <c r="S523" s="38"/>
      <c r="T523" s="38"/>
      <c r="U523" s="37">
        <f t="shared" si="140"/>
        <v>1</v>
      </c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43"/>
      <c r="AH523" s="44"/>
      <c r="AI523" s="45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  <c r="BS523" s="38"/>
      <c r="BT523" s="38"/>
      <c r="BU523" s="38"/>
      <c r="BV523" s="38"/>
      <c r="BW523" s="38"/>
      <c r="BX523" s="38"/>
      <c r="BY523" s="38"/>
      <c r="BZ523" s="38"/>
      <c r="CA523" s="38"/>
      <c r="CB523" s="38"/>
      <c r="CC523" s="38"/>
      <c r="CD523" s="38"/>
      <c r="CE523" s="38"/>
      <c r="CF523" s="38"/>
      <c r="CG523" s="38"/>
      <c r="CH523" s="38"/>
    </row>
    <row r="524" spans="1:86">
      <c r="A524" s="33">
        <v>45913</v>
      </c>
      <c r="B524" s="1" t="s">
        <v>813</v>
      </c>
      <c r="C524" s="1" t="s">
        <v>813</v>
      </c>
      <c r="D524" s="1" t="s">
        <v>814</v>
      </c>
      <c r="E524" s="38" t="s">
        <v>50</v>
      </c>
      <c r="F524" s="38">
        <v>100</v>
      </c>
      <c r="G524" s="38" t="s">
        <v>590</v>
      </c>
      <c r="H524" s="38">
        <v>110</v>
      </c>
      <c r="I524" s="38">
        <v>1111</v>
      </c>
      <c r="J524" s="11">
        <f t="shared" si="134"/>
        <v>3333</v>
      </c>
      <c r="K524" s="5">
        <f t="shared" ref="K524" si="141">+J524/(F524*H524*10^-5)</f>
        <v>30299.999999999996</v>
      </c>
      <c r="L524" s="39">
        <v>4</v>
      </c>
      <c r="M524" s="37">
        <f t="shared" ref="M524" si="142">+L524-X524-Z524-AD524-AB524-AF524-AH524-AJ524-AL524-AO524-AQ524-AS524-AU524-AW524-AY524-BA524-BC524-BE524-BG524-BI524-BK524-BM524-BO524-BQ524-BS524-BU524-BW524-BY524-CA524-CC524-CE524-CG524</f>
        <v>3</v>
      </c>
      <c r="N524" s="38"/>
      <c r="O524" s="46"/>
      <c r="P524" s="42"/>
      <c r="Q524" s="38"/>
      <c r="R524" s="38"/>
      <c r="S524" s="38"/>
      <c r="T524" s="38"/>
      <c r="U524" s="37">
        <f t="shared" ref="U524" si="143">+L524-X524-Z524-AD524-AB524-AF524-AH524-AJ524-AL524-AO524-AQ524-AS524-AU524-AW524-AY524-BA524-BC524-BE524-BG524-BI524-BK524-BM524-BO524-BQ524-BS524-BU524-BW524-BY524-CA524-CC524-CE524-CG524</f>
        <v>3</v>
      </c>
      <c r="V524" s="38"/>
      <c r="W524" s="38"/>
      <c r="X524" s="38">
        <v>1</v>
      </c>
      <c r="Y524" s="38"/>
      <c r="Z524" s="38"/>
      <c r="AA524" s="38"/>
      <c r="AB524" s="38"/>
      <c r="AC524" s="38"/>
      <c r="AD524" s="38"/>
      <c r="AE524" s="38"/>
      <c r="AF524" s="38"/>
      <c r="AG524" s="43"/>
      <c r="AH524" s="44"/>
      <c r="AI524" s="45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  <c r="BS524" s="38"/>
      <c r="BT524" s="38"/>
      <c r="BU524" s="38"/>
      <c r="BV524" s="38"/>
      <c r="BW524" s="38"/>
      <c r="BX524" s="38"/>
      <c r="BY524" s="38"/>
      <c r="BZ524" s="38"/>
      <c r="CA524" s="38"/>
      <c r="CB524" s="38"/>
      <c r="CC524" s="38"/>
      <c r="CD524" s="38"/>
      <c r="CE524" s="38"/>
      <c r="CF524" s="38"/>
      <c r="CG524" s="38"/>
      <c r="CH524" s="38"/>
    </row>
    <row r="525" spans="1:86">
      <c r="A525" s="33">
        <v>45913</v>
      </c>
      <c r="B525" s="1"/>
      <c r="C525" s="1" t="s">
        <v>815</v>
      </c>
      <c r="D525" s="1"/>
      <c r="E525" s="38" t="s">
        <v>50</v>
      </c>
      <c r="F525" s="38">
        <v>120</v>
      </c>
      <c r="G525" s="38" t="s">
        <v>590</v>
      </c>
      <c r="H525" s="38">
        <v>125</v>
      </c>
      <c r="I525" s="38">
        <v>1261</v>
      </c>
      <c r="J525" s="11">
        <f t="shared" si="134"/>
        <v>1261</v>
      </c>
      <c r="K525" s="5">
        <f t="shared" ref="K525" si="144">+J525/(F525*H525*10^-5)</f>
        <v>8406.6666666666661</v>
      </c>
      <c r="L525" s="39">
        <v>1</v>
      </c>
      <c r="M525" s="37">
        <f t="shared" ref="M525" si="145">+L525-X525-Z525-AD525-AB525-AF525-AH525-AJ525-AL525-AO525-AQ525-AS525-AU525-AW525-AY525-BA525-BC525-BE525-BG525-BI525-BK525-BM525-BO525-BQ525-BS525-BU525-BW525-BY525-CA525-CC525-CE525-CG525</f>
        <v>1</v>
      </c>
      <c r="N525" s="38"/>
      <c r="O525" s="46"/>
      <c r="P525" s="42"/>
      <c r="Q525" s="38"/>
      <c r="R525" s="38"/>
      <c r="S525" s="38"/>
      <c r="T525" s="38"/>
      <c r="U525" s="37">
        <f t="shared" ref="U525" si="146">+L525-X525-Z525-AD525-AB525-AF525-AH525-AJ525-AL525-AO525-AQ525-AS525-AU525-AW525-AY525-BA525-BC525-BE525-BG525-BI525-BK525-BM525-BO525-BQ525-BS525-BU525-BW525-BY525-CA525-CC525-CE525-CG525</f>
        <v>1</v>
      </c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43"/>
      <c r="AH525" s="44"/>
      <c r="AI525" s="45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  <c r="BS525" s="38"/>
      <c r="BT525" s="38"/>
      <c r="BU525" s="38"/>
      <c r="BV525" s="38"/>
      <c r="BW525" s="38"/>
      <c r="BX525" s="38"/>
      <c r="BY525" s="38"/>
      <c r="BZ525" s="38"/>
      <c r="CA525" s="38"/>
      <c r="CB525" s="38"/>
      <c r="CC525" s="38"/>
      <c r="CD525" s="38"/>
      <c r="CE525" s="38"/>
      <c r="CF525" s="38"/>
      <c r="CG525" s="38"/>
      <c r="CH525" s="38"/>
    </row>
    <row r="526" spans="1:86">
      <c r="A526" s="33">
        <v>45917</v>
      </c>
      <c r="B526" s="1" t="s">
        <v>817</v>
      </c>
      <c r="C526" s="1" t="s">
        <v>817</v>
      </c>
      <c r="D526" s="1"/>
      <c r="E526" s="38" t="s">
        <v>50</v>
      </c>
      <c r="F526" s="38">
        <v>110</v>
      </c>
      <c r="G526" s="38" t="s">
        <v>590</v>
      </c>
      <c r="H526" s="38">
        <v>155</v>
      </c>
      <c r="I526" s="38">
        <v>1521</v>
      </c>
      <c r="J526" s="11">
        <f t="shared" ref="J526:J534" si="147">IFERROR(IF(AND(V526=3,U526&gt;0),I526,I526*U526),"Verify")</f>
        <v>1521</v>
      </c>
      <c r="K526" s="5">
        <f t="shared" ref="K526:K527" si="148">+J526/(F526*H526*10^-5)</f>
        <v>8920.8211143695007</v>
      </c>
      <c r="L526" s="39">
        <v>1</v>
      </c>
      <c r="M526" s="37">
        <f t="shared" ref="M526:M527" si="149">+L526-X526-Z526-AD526-AB526-AF526-AH526-AJ526-AL526-AO526-AQ526-AS526-AU526-AW526-AY526-BA526-BC526-BE526-BG526-BI526-BK526-BM526-BO526-BQ526-BS526-BU526-BW526-BY526-CA526-CC526-CE526-CG526</f>
        <v>1</v>
      </c>
      <c r="N526" s="38"/>
      <c r="O526" s="46"/>
      <c r="P526" s="42"/>
      <c r="Q526" s="38"/>
      <c r="R526" s="38"/>
      <c r="S526" s="38"/>
      <c r="T526" s="38"/>
      <c r="U526" s="37">
        <f t="shared" ref="U526:U527" si="150">+L526-X526-Z526-AD526-AB526-AF526-AH526-AJ526-AL526-AO526-AQ526-AS526-AU526-AW526-AY526-BA526-BC526-BE526-BG526-BI526-BK526-BM526-BO526-BQ526-BS526-BU526-BW526-BY526-CA526-CC526-CE526-CG526</f>
        <v>1</v>
      </c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43"/>
      <c r="AH526" s="44"/>
      <c r="AI526" s="45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  <c r="BW526" s="38"/>
      <c r="BX526" s="38"/>
      <c r="BY526" s="38"/>
      <c r="BZ526" s="38"/>
      <c r="CA526" s="38"/>
      <c r="CB526" s="38"/>
      <c r="CC526" s="38"/>
      <c r="CD526" s="38"/>
      <c r="CE526" s="38"/>
      <c r="CF526" s="38"/>
      <c r="CG526" s="38"/>
      <c r="CH526" s="38"/>
    </row>
    <row r="527" spans="1:86">
      <c r="A527" s="33">
        <v>45917</v>
      </c>
      <c r="B527" s="1" t="s">
        <v>817</v>
      </c>
      <c r="C527" s="1" t="s">
        <v>817</v>
      </c>
      <c r="D527" s="1" t="s">
        <v>818</v>
      </c>
      <c r="E527" s="38" t="s">
        <v>50</v>
      </c>
      <c r="F527" s="38">
        <v>110</v>
      </c>
      <c r="G527" s="38" t="s">
        <v>590</v>
      </c>
      <c r="H527" s="38">
        <v>155</v>
      </c>
      <c r="I527" s="38">
        <v>1535</v>
      </c>
      <c r="J527" s="11">
        <f t="shared" si="147"/>
        <v>1535</v>
      </c>
      <c r="K527" s="5">
        <f t="shared" si="148"/>
        <v>9002.9325513196472</v>
      </c>
      <c r="L527" s="39">
        <v>1</v>
      </c>
      <c r="M527" s="37">
        <f t="shared" si="149"/>
        <v>1</v>
      </c>
      <c r="N527" s="38"/>
      <c r="O527" s="46"/>
      <c r="P527" s="42"/>
      <c r="Q527" s="38"/>
      <c r="R527" s="38"/>
      <c r="S527" s="38"/>
      <c r="T527" s="38"/>
      <c r="U527" s="37">
        <f t="shared" si="150"/>
        <v>1</v>
      </c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43"/>
      <c r="AH527" s="44"/>
      <c r="AI527" s="45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  <c r="BW527" s="38"/>
      <c r="BX527" s="38"/>
      <c r="BY527" s="38"/>
      <c r="BZ527" s="38"/>
      <c r="CA527" s="38"/>
      <c r="CB527" s="38"/>
      <c r="CC527" s="38"/>
      <c r="CD527" s="38"/>
      <c r="CE527" s="38"/>
      <c r="CF527" s="38"/>
      <c r="CG527" s="38"/>
      <c r="CH527" s="38"/>
    </row>
    <row r="528" spans="1:86">
      <c r="A528" s="33">
        <v>45917</v>
      </c>
      <c r="B528" s="1" t="s">
        <v>820</v>
      </c>
      <c r="C528" s="1" t="s">
        <v>820</v>
      </c>
      <c r="D528" s="1"/>
      <c r="E528" s="38" t="s">
        <v>50</v>
      </c>
      <c r="F528" s="38">
        <v>120</v>
      </c>
      <c r="G528" s="38" t="s">
        <v>590</v>
      </c>
      <c r="H528" s="38">
        <v>90</v>
      </c>
      <c r="I528" s="38">
        <v>907</v>
      </c>
      <c r="J528" s="11">
        <f t="shared" si="147"/>
        <v>907</v>
      </c>
      <c r="K528" s="5">
        <f t="shared" ref="K528:K534" si="151">+J528/(F528*H528*10^-5)</f>
        <v>8398.1481481481478</v>
      </c>
      <c r="L528" s="39">
        <v>1</v>
      </c>
      <c r="M528" s="37">
        <f t="shared" ref="M528:M534" si="152">+L528-X528-Z528-AD528-AB528-AF528-AH528-AJ528-AL528-AO528-AQ528-AS528-AU528-AW528-AY528-BA528-BC528-BE528-BG528-BI528-BK528-BM528-BO528-BQ528-BS528-BU528-BW528-BY528-CA528-CC528-CE528-CG528</f>
        <v>1</v>
      </c>
      <c r="N528" s="38"/>
      <c r="O528" s="46"/>
      <c r="P528" s="42"/>
      <c r="Q528" s="38"/>
      <c r="R528" s="38"/>
      <c r="S528" s="38"/>
      <c r="T528" s="38"/>
      <c r="U528" s="37">
        <f t="shared" ref="U528:U534" si="153">+L528-X528-Z528-AD528-AB528-AF528-AH528-AJ528-AL528-AO528-AQ528-AS528-AU528-AW528-AY528-BA528-BC528-BE528-BG528-BI528-BK528-BM528-BO528-BQ528-BS528-BU528-BW528-BY528-CA528-CC528-CE528-CG528</f>
        <v>1</v>
      </c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43"/>
      <c r="AH528" s="44"/>
      <c r="AI528" s="45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  <c r="CH528" s="38"/>
    </row>
    <row r="529" spans="1:86">
      <c r="A529" s="33">
        <v>45917</v>
      </c>
      <c r="B529" s="1" t="s">
        <v>820</v>
      </c>
      <c r="C529" s="1" t="s">
        <v>820</v>
      </c>
      <c r="D529" s="1"/>
      <c r="E529" s="38" t="s">
        <v>50</v>
      </c>
      <c r="F529" s="38">
        <v>120</v>
      </c>
      <c r="G529" s="38" t="s">
        <v>590</v>
      </c>
      <c r="H529" s="38">
        <v>90</v>
      </c>
      <c r="I529" s="38">
        <v>910</v>
      </c>
      <c r="J529" s="11">
        <f t="shared" si="147"/>
        <v>910</v>
      </c>
      <c r="K529" s="5">
        <f t="shared" si="151"/>
        <v>8425.9259259259252</v>
      </c>
      <c r="L529" s="39">
        <v>1</v>
      </c>
      <c r="M529" s="37">
        <f t="shared" si="152"/>
        <v>1</v>
      </c>
      <c r="N529" s="38"/>
      <c r="O529" s="46"/>
      <c r="P529" s="42"/>
      <c r="Q529" s="38"/>
      <c r="R529" s="38"/>
      <c r="S529" s="38"/>
      <c r="T529" s="38"/>
      <c r="U529" s="37">
        <f t="shared" si="153"/>
        <v>1</v>
      </c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43"/>
      <c r="AH529" s="44"/>
      <c r="AI529" s="45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  <c r="CH529" s="38"/>
    </row>
    <row r="530" spans="1:86">
      <c r="A530" s="33">
        <v>45917</v>
      </c>
      <c r="B530" s="1" t="s">
        <v>821</v>
      </c>
      <c r="C530" s="1" t="s">
        <v>821</v>
      </c>
      <c r="D530" s="1"/>
      <c r="E530" s="38" t="s">
        <v>41</v>
      </c>
      <c r="F530" s="38">
        <v>100</v>
      </c>
      <c r="G530" s="38" t="s">
        <v>590</v>
      </c>
      <c r="H530" s="38">
        <v>97</v>
      </c>
      <c r="I530" s="38">
        <v>920</v>
      </c>
      <c r="J530" s="11">
        <f t="shared" si="147"/>
        <v>920</v>
      </c>
      <c r="K530" s="5">
        <f t="shared" si="151"/>
        <v>9484.5360824742256</v>
      </c>
      <c r="L530" s="39">
        <v>1</v>
      </c>
      <c r="M530" s="37">
        <f t="shared" si="152"/>
        <v>1</v>
      </c>
      <c r="N530" s="38"/>
      <c r="O530" s="46"/>
      <c r="P530" s="42">
        <f t="shared" ref="P530:P533" si="154">+J530-O530</f>
        <v>920</v>
      </c>
      <c r="Q530" s="38"/>
      <c r="R530" s="38"/>
      <c r="S530" s="38"/>
      <c r="T530" s="38"/>
      <c r="U530" s="37">
        <f t="shared" si="153"/>
        <v>1</v>
      </c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43"/>
      <c r="AH530" s="44"/>
      <c r="AI530" s="45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  <c r="BW530" s="38"/>
      <c r="BX530" s="38"/>
      <c r="BY530" s="38"/>
      <c r="BZ530" s="38"/>
      <c r="CA530" s="38"/>
      <c r="CB530" s="38"/>
      <c r="CC530" s="38"/>
      <c r="CD530" s="38"/>
      <c r="CE530" s="38"/>
      <c r="CF530" s="38"/>
      <c r="CG530" s="38"/>
      <c r="CH530" s="38"/>
    </row>
    <row r="531" spans="1:86">
      <c r="A531" s="33">
        <v>45917</v>
      </c>
      <c r="B531" s="1" t="s">
        <v>821</v>
      </c>
      <c r="C531" s="1" t="s">
        <v>821</v>
      </c>
      <c r="D531" s="1"/>
      <c r="E531" s="38" t="s">
        <v>41</v>
      </c>
      <c r="F531" s="38">
        <v>100</v>
      </c>
      <c r="G531" s="38" t="s">
        <v>590</v>
      </c>
      <c r="H531" s="38">
        <v>97</v>
      </c>
      <c r="I531" s="38">
        <v>924</v>
      </c>
      <c r="J531" s="11">
        <f t="shared" si="147"/>
        <v>924</v>
      </c>
      <c r="K531" s="5">
        <f t="shared" si="151"/>
        <v>9525.7731958762888</v>
      </c>
      <c r="L531" s="39">
        <v>1</v>
      </c>
      <c r="M531" s="37">
        <f t="shared" si="152"/>
        <v>1</v>
      </c>
      <c r="N531" s="38"/>
      <c r="O531" s="46"/>
      <c r="P531" s="42">
        <f t="shared" si="154"/>
        <v>924</v>
      </c>
      <c r="Q531" s="38"/>
      <c r="R531" s="38"/>
      <c r="S531" s="38"/>
      <c r="T531" s="38"/>
      <c r="U531" s="37">
        <f t="shared" si="153"/>
        <v>1</v>
      </c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43"/>
      <c r="AH531" s="44"/>
      <c r="AI531" s="45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  <c r="BS531" s="38"/>
      <c r="BT531" s="38"/>
      <c r="BU531" s="38"/>
      <c r="BV531" s="38"/>
      <c r="BW531" s="38"/>
      <c r="BX531" s="38"/>
      <c r="BY531" s="38"/>
      <c r="BZ531" s="38"/>
      <c r="CA531" s="38"/>
      <c r="CB531" s="38"/>
      <c r="CC531" s="38"/>
      <c r="CD531" s="38"/>
      <c r="CE531" s="38"/>
      <c r="CF531" s="38"/>
      <c r="CG531" s="38"/>
      <c r="CH531" s="38"/>
    </row>
    <row r="532" spans="1:86">
      <c r="A532" s="33">
        <v>45917</v>
      </c>
      <c r="B532" s="1" t="s">
        <v>821</v>
      </c>
      <c r="C532" s="1" t="s">
        <v>821</v>
      </c>
      <c r="D532" s="1"/>
      <c r="E532" s="38" t="s">
        <v>41</v>
      </c>
      <c r="F532" s="38">
        <v>100</v>
      </c>
      <c r="G532" s="38" t="s">
        <v>590</v>
      </c>
      <c r="H532" s="38">
        <v>97</v>
      </c>
      <c r="I532" s="38">
        <v>927</v>
      </c>
      <c r="J532" s="11">
        <f t="shared" si="147"/>
        <v>927</v>
      </c>
      <c r="K532" s="5">
        <f t="shared" si="151"/>
        <v>9556.7010309278339</v>
      </c>
      <c r="L532" s="39">
        <v>1</v>
      </c>
      <c r="M532" s="37">
        <f t="shared" si="152"/>
        <v>1</v>
      </c>
      <c r="N532" s="38"/>
      <c r="O532" s="46"/>
      <c r="P532" s="42">
        <f t="shared" si="154"/>
        <v>927</v>
      </c>
      <c r="Q532" s="38"/>
      <c r="R532" s="38"/>
      <c r="S532" s="38"/>
      <c r="T532" s="38"/>
      <c r="U532" s="37">
        <f t="shared" si="153"/>
        <v>1</v>
      </c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43"/>
      <c r="AH532" s="44"/>
      <c r="AI532" s="45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  <c r="BS532" s="38"/>
      <c r="BT532" s="38"/>
      <c r="BU532" s="38"/>
      <c r="BV532" s="38"/>
      <c r="BW532" s="38"/>
      <c r="BX532" s="38"/>
      <c r="BY532" s="38"/>
      <c r="BZ532" s="38"/>
      <c r="CA532" s="38"/>
      <c r="CB532" s="38"/>
      <c r="CC532" s="38"/>
      <c r="CD532" s="38"/>
      <c r="CE532" s="38"/>
      <c r="CF532" s="38"/>
      <c r="CG532" s="38"/>
      <c r="CH532" s="38"/>
    </row>
    <row r="533" spans="1:86">
      <c r="A533" s="33">
        <v>45917</v>
      </c>
      <c r="B533" s="1" t="s">
        <v>821</v>
      </c>
      <c r="C533" s="1" t="s">
        <v>821</v>
      </c>
      <c r="D533" s="1"/>
      <c r="E533" s="38" t="s">
        <v>41</v>
      </c>
      <c r="F533" s="38">
        <v>100</v>
      </c>
      <c r="G533" s="38" t="s">
        <v>590</v>
      </c>
      <c r="H533" s="38">
        <v>97</v>
      </c>
      <c r="I533" s="38">
        <v>923</v>
      </c>
      <c r="J533" s="11">
        <f t="shared" si="147"/>
        <v>923</v>
      </c>
      <c r="K533" s="5">
        <f t="shared" si="151"/>
        <v>9515.4639175257726</v>
      </c>
      <c r="L533" s="39">
        <v>1</v>
      </c>
      <c r="M533" s="37">
        <f t="shared" si="152"/>
        <v>1</v>
      </c>
      <c r="N533" s="38"/>
      <c r="O533" s="46"/>
      <c r="P533" s="42">
        <f t="shared" si="154"/>
        <v>923</v>
      </c>
      <c r="Q533" s="38"/>
      <c r="R533" s="38"/>
      <c r="S533" s="38"/>
      <c r="T533" s="38"/>
      <c r="U533" s="37">
        <f t="shared" si="153"/>
        <v>1</v>
      </c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43"/>
      <c r="AH533" s="44"/>
      <c r="AI533" s="45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  <c r="BS533" s="38"/>
      <c r="BT533" s="38"/>
      <c r="BU533" s="38"/>
      <c r="BV533" s="38"/>
      <c r="BW533" s="38"/>
      <c r="BX533" s="38"/>
      <c r="BY533" s="38"/>
      <c r="BZ533" s="38"/>
      <c r="CA533" s="38"/>
      <c r="CB533" s="38"/>
      <c r="CC533" s="38"/>
      <c r="CD533" s="38"/>
      <c r="CE533" s="38"/>
      <c r="CF533" s="38"/>
      <c r="CG533" s="38"/>
      <c r="CH533" s="38"/>
    </row>
    <row r="534" spans="1:86">
      <c r="A534" s="33">
        <v>45917</v>
      </c>
      <c r="B534" s="1" t="s">
        <v>822</v>
      </c>
      <c r="C534" s="1" t="s">
        <v>822</v>
      </c>
      <c r="D534" s="1" t="s">
        <v>814</v>
      </c>
      <c r="E534" s="38" t="s">
        <v>41</v>
      </c>
      <c r="F534" s="38">
        <v>100</v>
      </c>
      <c r="G534" s="38" t="s">
        <v>590</v>
      </c>
      <c r="H534" s="38">
        <v>120</v>
      </c>
      <c r="I534" s="38">
        <v>1045</v>
      </c>
      <c r="J534" s="11">
        <f t="shared" si="147"/>
        <v>1045</v>
      </c>
      <c r="K534" s="5">
        <f t="shared" si="151"/>
        <v>8708.3333333333321</v>
      </c>
      <c r="L534" s="39">
        <v>1</v>
      </c>
      <c r="M534" s="37">
        <f t="shared" si="152"/>
        <v>1</v>
      </c>
      <c r="N534" s="38"/>
      <c r="O534" s="46"/>
      <c r="P534" s="42"/>
      <c r="Q534" s="38"/>
      <c r="R534" s="38"/>
      <c r="S534" s="38"/>
      <c r="T534" s="38"/>
      <c r="U534" s="37">
        <f t="shared" si="153"/>
        <v>1</v>
      </c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43"/>
      <c r="AH534" s="44"/>
      <c r="AI534" s="45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  <c r="BW534" s="38"/>
      <c r="BX534" s="38"/>
      <c r="BY534" s="38"/>
      <c r="BZ534" s="38"/>
      <c r="CA534" s="38"/>
      <c r="CB534" s="38"/>
      <c r="CC534" s="38"/>
      <c r="CD534" s="38"/>
      <c r="CE534" s="38"/>
      <c r="CF534" s="38"/>
      <c r="CG534" s="38"/>
      <c r="CH534" s="38"/>
    </row>
    <row r="535" spans="1:86">
      <c r="A535" s="33">
        <v>45929</v>
      </c>
      <c r="B535" s="1"/>
      <c r="C535" s="1" t="s">
        <v>809</v>
      </c>
      <c r="D535" s="1"/>
      <c r="E535" s="38" t="s">
        <v>41</v>
      </c>
      <c r="F535" s="38">
        <v>120</v>
      </c>
      <c r="G535" s="38" t="s">
        <v>590</v>
      </c>
      <c r="H535" s="38">
        <v>125</v>
      </c>
      <c r="I535" s="38">
        <v>1144</v>
      </c>
      <c r="J535" s="11">
        <f t="shared" ref="J535:J538" si="155">IFERROR(IF(AND(V535=3,U535&gt;0),I535,I535*U535),"Verify")</f>
        <v>1144</v>
      </c>
      <c r="K535" s="5">
        <f t="shared" ref="K535:K538" si="156">+J535/(F535*H535*10^-5)</f>
        <v>7626.6666666666652</v>
      </c>
      <c r="L535" s="39">
        <v>1</v>
      </c>
      <c r="M535" s="37">
        <f t="shared" ref="M535:M561" si="157">+L535-X535-Z535-AD535-AB535-AF535-AH535-AJ535-AL535-AO535-AQ535-AS535-AU535-AW535-AY535-BA535-BC535-BE535-BG535-BI535-BK535-BM535-BO535-BQ535-BS535-BU535-BW535-BY535-CA535-CC535-CE535-CG535</f>
        <v>1</v>
      </c>
      <c r="N535" s="38"/>
      <c r="O535" s="46"/>
      <c r="P535" s="42"/>
      <c r="Q535" s="38"/>
      <c r="R535" s="38"/>
      <c r="S535" s="38"/>
      <c r="T535" s="38"/>
      <c r="U535" s="37">
        <f t="shared" ref="U535:U561" si="158">+L535-X535-Z535-AD535-AB535-AF535-AH535-AJ535-AL535-AO535-AQ535-AS535-AU535-AW535-AY535-BA535-BC535-BE535-BG535-BI535-BK535-BM535-BO535-BQ535-BS535-BU535-BW535-BY535-CA535-CC535-CE535-CG535</f>
        <v>1</v>
      </c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43"/>
      <c r="AH535" s="44"/>
      <c r="AI535" s="45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  <c r="BW535" s="38"/>
      <c r="BX535" s="38"/>
      <c r="BY535" s="38"/>
      <c r="BZ535" s="38"/>
      <c r="CA535" s="38"/>
      <c r="CB535" s="38"/>
      <c r="CC535" s="38"/>
      <c r="CD535" s="38"/>
      <c r="CE535" s="38"/>
      <c r="CF535" s="38"/>
      <c r="CG535" s="38"/>
      <c r="CH535" s="38"/>
    </row>
    <row r="536" spans="1:86">
      <c r="A536" s="33">
        <v>45929</v>
      </c>
      <c r="B536" s="1" t="s">
        <v>824</v>
      </c>
      <c r="C536" s="1" t="s">
        <v>824</v>
      </c>
      <c r="D536" s="1"/>
      <c r="E536" s="38" t="s">
        <v>41</v>
      </c>
      <c r="F536" s="38">
        <v>120</v>
      </c>
      <c r="G536" s="38" t="s">
        <v>590</v>
      </c>
      <c r="H536" s="38">
        <v>155</v>
      </c>
      <c r="I536" s="38">
        <v>1336</v>
      </c>
      <c r="J536" s="11">
        <f t="shared" si="155"/>
        <v>1336</v>
      </c>
      <c r="K536" s="5">
        <f t="shared" si="156"/>
        <v>7182.7956989247305</v>
      </c>
      <c r="L536" s="39">
        <v>1</v>
      </c>
      <c r="M536" s="37">
        <f t="shared" si="157"/>
        <v>1</v>
      </c>
      <c r="N536" s="38"/>
      <c r="O536" s="46"/>
      <c r="P536" s="42"/>
      <c r="Q536" s="38"/>
      <c r="R536" s="38"/>
      <c r="S536" s="38"/>
      <c r="T536" s="38"/>
      <c r="U536" s="37">
        <f t="shared" si="158"/>
        <v>1</v>
      </c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43"/>
      <c r="AH536" s="44"/>
      <c r="AI536" s="45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  <c r="BW536" s="38"/>
      <c r="BX536" s="38"/>
      <c r="BY536" s="38"/>
      <c r="BZ536" s="38"/>
      <c r="CA536" s="38"/>
      <c r="CB536" s="38"/>
      <c r="CC536" s="38"/>
      <c r="CD536" s="38"/>
      <c r="CE536" s="38"/>
      <c r="CF536" s="38"/>
      <c r="CG536" s="38"/>
      <c r="CH536" s="38"/>
    </row>
    <row r="537" spans="1:86">
      <c r="A537" s="33">
        <v>45929</v>
      </c>
      <c r="B537" s="1" t="s">
        <v>824</v>
      </c>
      <c r="C537" s="1" t="s">
        <v>824</v>
      </c>
      <c r="D537" s="1"/>
      <c r="E537" s="38" t="s">
        <v>41</v>
      </c>
      <c r="F537" s="38">
        <v>120</v>
      </c>
      <c r="G537" s="38" t="s">
        <v>590</v>
      </c>
      <c r="H537" s="38">
        <v>155</v>
      </c>
      <c r="I537" s="38">
        <v>1337</v>
      </c>
      <c r="J537" s="11">
        <f t="shared" si="155"/>
        <v>1337</v>
      </c>
      <c r="K537" s="5">
        <f t="shared" si="156"/>
        <v>7188.1720430107516</v>
      </c>
      <c r="L537" s="39">
        <v>1</v>
      </c>
      <c r="M537" s="37">
        <f t="shared" si="157"/>
        <v>1</v>
      </c>
      <c r="N537" s="38"/>
      <c r="O537" s="46"/>
      <c r="P537" s="42"/>
      <c r="Q537" s="38"/>
      <c r="R537" s="38"/>
      <c r="S537" s="38"/>
      <c r="T537" s="38"/>
      <c r="U537" s="37">
        <f t="shared" si="158"/>
        <v>1</v>
      </c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43"/>
      <c r="AH537" s="44"/>
      <c r="AI537" s="45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  <c r="BW537" s="38"/>
      <c r="BX537" s="38"/>
      <c r="BY537" s="38"/>
      <c r="BZ537" s="38"/>
      <c r="CA537" s="38"/>
      <c r="CB537" s="38"/>
      <c r="CC537" s="38"/>
      <c r="CD537" s="38"/>
      <c r="CE537" s="38"/>
      <c r="CF537" s="38"/>
      <c r="CG537" s="38"/>
      <c r="CH537" s="38"/>
    </row>
    <row r="538" spans="1:86">
      <c r="A538" s="33">
        <v>45930</v>
      </c>
      <c r="B538" s="1" t="s">
        <v>825</v>
      </c>
      <c r="C538" s="1" t="s">
        <v>825</v>
      </c>
      <c r="D538" s="1"/>
      <c r="E538" s="38" t="s">
        <v>50</v>
      </c>
      <c r="F538" s="38">
        <v>110</v>
      </c>
      <c r="G538" s="38" t="s">
        <v>590</v>
      </c>
      <c r="H538" s="38">
        <v>68</v>
      </c>
      <c r="I538" s="38">
        <v>710</v>
      </c>
      <c r="J538" s="11">
        <f t="shared" si="155"/>
        <v>710</v>
      </c>
      <c r="K538" s="5">
        <f t="shared" si="156"/>
        <v>9491.9786096256685</v>
      </c>
      <c r="L538" s="39">
        <v>1</v>
      </c>
      <c r="M538" s="37">
        <f t="shared" si="157"/>
        <v>1</v>
      </c>
      <c r="N538" s="38"/>
      <c r="O538" s="46"/>
      <c r="P538" s="42"/>
      <c r="Q538" s="38"/>
      <c r="R538" s="38"/>
      <c r="S538" s="38"/>
      <c r="T538" s="38"/>
      <c r="U538" s="37">
        <f t="shared" si="158"/>
        <v>1</v>
      </c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43"/>
      <c r="AH538" s="44"/>
      <c r="AI538" s="45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  <c r="CH538" s="38"/>
    </row>
    <row r="539" spans="1:86">
      <c r="A539" s="33">
        <v>45930</v>
      </c>
      <c r="B539" s="1" t="s">
        <v>825</v>
      </c>
      <c r="C539" s="1" t="s">
        <v>825</v>
      </c>
      <c r="D539" s="1"/>
      <c r="E539" s="38" t="s">
        <v>50</v>
      </c>
      <c r="F539" s="38">
        <v>110</v>
      </c>
      <c r="G539" s="38" t="s">
        <v>590</v>
      </c>
      <c r="H539" s="38">
        <v>68</v>
      </c>
      <c r="I539" s="38">
        <v>713</v>
      </c>
      <c r="J539" s="11">
        <f t="shared" ref="J539" si="159">IFERROR(IF(AND(V539=3,U539&gt;0),I539,I539*U539),"Verify")</f>
        <v>713</v>
      </c>
      <c r="K539" s="5">
        <f t="shared" ref="K539" si="160">+J539/(F539*H539*10^-5)</f>
        <v>9532.0855614973261</v>
      </c>
      <c r="L539" s="39">
        <v>1</v>
      </c>
      <c r="M539" s="37">
        <f t="shared" si="157"/>
        <v>1</v>
      </c>
      <c r="N539" s="38"/>
      <c r="O539" s="46"/>
      <c r="P539" s="42"/>
      <c r="Q539" s="38"/>
      <c r="R539" s="38"/>
      <c r="S539" s="38"/>
      <c r="T539" s="38"/>
      <c r="U539" s="37">
        <f t="shared" si="158"/>
        <v>1</v>
      </c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43"/>
      <c r="AH539" s="44"/>
      <c r="AI539" s="45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  <c r="BS539" s="38"/>
      <c r="BT539" s="38"/>
      <c r="BU539" s="38"/>
      <c r="BV539" s="38"/>
      <c r="BW539" s="38"/>
      <c r="BX539" s="38"/>
      <c r="BY539" s="38"/>
      <c r="BZ539" s="38"/>
      <c r="CA539" s="38"/>
      <c r="CB539" s="38"/>
      <c r="CC539" s="38"/>
      <c r="CD539" s="38"/>
      <c r="CE539" s="38"/>
      <c r="CF539" s="38"/>
      <c r="CG539" s="38"/>
      <c r="CH539" s="38"/>
    </row>
    <row r="540" spans="1:86">
      <c r="A540" s="33">
        <v>45930</v>
      </c>
      <c r="B540" s="1" t="s">
        <v>825</v>
      </c>
      <c r="C540" s="1" t="s">
        <v>825</v>
      </c>
      <c r="D540" s="1"/>
      <c r="E540" s="38" t="s">
        <v>50</v>
      </c>
      <c r="F540" s="38">
        <v>110</v>
      </c>
      <c r="G540" s="38" t="s">
        <v>590</v>
      </c>
      <c r="H540" s="38">
        <v>68</v>
      </c>
      <c r="I540" s="38">
        <v>719</v>
      </c>
      <c r="J540" s="11">
        <f t="shared" ref="J540:J547" si="161">IFERROR(IF(AND(V540=3,U540&gt;0),I540,I540*U540),"Verify")</f>
        <v>1438</v>
      </c>
      <c r="K540" s="5">
        <f t="shared" ref="K540:K547" si="162">+J540/(F540*H540*10^-5)</f>
        <v>19224.598930481283</v>
      </c>
      <c r="L540" s="39">
        <v>2</v>
      </c>
      <c r="M540" s="37">
        <f t="shared" si="157"/>
        <v>2</v>
      </c>
      <c r="N540" s="38"/>
      <c r="O540" s="46"/>
      <c r="P540" s="42"/>
      <c r="Q540" s="38"/>
      <c r="R540" s="38"/>
      <c r="S540" s="38"/>
      <c r="T540" s="38"/>
      <c r="U540" s="37">
        <f t="shared" si="158"/>
        <v>2</v>
      </c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43"/>
      <c r="AH540" s="44"/>
      <c r="AI540" s="45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  <c r="BS540" s="38"/>
      <c r="BT540" s="38"/>
      <c r="BU540" s="38"/>
      <c r="BV540" s="38"/>
      <c r="BW540" s="38"/>
      <c r="BX540" s="38"/>
      <c r="BY540" s="38"/>
      <c r="BZ540" s="38"/>
      <c r="CA540" s="38"/>
      <c r="CB540" s="38"/>
      <c r="CC540" s="38"/>
      <c r="CD540" s="38"/>
      <c r="CE540" s="38"/>
      <c r="CF540" s="38"/>
      <c r="CG540" s="38"/>
      <c r="CH540" s="38"/>
    </row>
    <row r="541" spans="1:86">
      <c r="A541" s="33">
        <v>45930</v>
      </c>
      <c r="B541" s="1" t="s">
        <v>825</v>
      </c>
      <c r="C541" s="1" t="s">
        <v>825</v>
      </c>
      <c r="D541" s="1"/>
      <c r="E541" s="38" t="s">
        <v>50</v>
      </c>
      <c r="F541" s="38">
        <v>110</v>
      </c>
      <c r="G541" s="38" t="s">
        <v>590</v>
      </c>
      <c r="H541" s="38">
        <v>68</v>
      </c>
      <c r="I541" s="38">
        <v>711</v>
      </c>
      <c r="J541" s="11">
        <f t="shared" si="161"/>
        <v>711</v>
      </c>
      <c r="K541" s="5">
        <f t="shared" si="162"/>
        <v>9505.3475935828865</v>
      </c>
      <c r="L541" s="39">
        <v>1</v>
      </c>
      <c r="M541" s="37">
        <f t="shared" si="157"/>
        <v>1</v>
      </c>
      <c r="N541" s="38"/>
      <c r="O541" s="46"/>
      <c r="P541" s="42"/>
      <c r="Q541" s="38"/>
      <c r="R541" s="38"/>
      <c r="S541" s="38"/>
      <c r="T541" s="38"/>
      <c r="U541" s="37">
        <f t="shared" si="158"/>
        <v>1</v>
      </c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43"/>
      <c r="AH541" s="44"/>
      <c r="AI541" s="45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  <c r="BW541" s="38"/>
      <c r="BX541" s="38"/>
      <c r="BY541" s="38"/>
      <c r="BZ541" s="38"/>
      <c r="CA541" s="38"/>
      <c r="CB541" s="38"/>
      <c r="CC541" s="38"/>
      <c r="CD541" s="38"/>
      <c r="CE541" s="38"/>
      <c r="CF541" s="38"/>
      <c r="CG541" s="38"/>
      <c r="CH541" s="38"/>
    </row>
    <row r="542" spans="1:86">
      <c r="A542" s="33">
        <v>45930</v>
      </c>
      <c r="B542" s="1" t="s">
        <v>825</v>
      </c>
      <c r="C542" s="1" t="s">
        <v>825</v>
      </c>
      <c r="D542" s="1"/>
      <c r="E542" s="38" t="s">
        <v>50</v>
      </c>
      <c r="F542" s="38">
        <v>110</v>
      </c>
      <c r="G542" s="38" t="s">
        <v>590</v>
      </c>
      <c r="H542" s="38">
        <v>68</v>
      </c>
      <c r="I542" s="38">
        <v>714</v>
      </c>
      <c r="J542" s="11">
        <f t="shared" si="161"/>
        <v>714</v>
      </c>
      <c r="K542" s="5">
        <f t="shared" si="162"/>
        <v>9545.4545454545441</v>
      </c>
      <c r="L542" s="39">
        <v>1</v>
      </c>
      <c r="M542" s="37">
        <f t="shared" si="157"/>
        <v>1</v>
      </c>
      <c r="N542" s="38"/>
      <c r="O542" s="46"/>
      <c r="P542" s="42"/>
      <c r="Q542" s="38"/>
      <c r="R542" s="38"/>
      <c r="S542" s="38"/>
      <c r="T542" s="38"/>
      <c r="U542" s="37">
        <f t="shared" si="158"/>
        <v>1</v>
      </c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43"/>
      <c r="AH542" s="44"/>
      <c r="AI542" s="45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  <c r="BW542" s="38"/>
      <c r="BX542" s="38"/>
      <c r="BY542" s="38"/>
      <c r="BZ542" s="38"/>
      <c r="CA542" s="38"/>
      <c r="CB542" s="38"/>
      <c r="CC542" s="38"/>
      <c r="CD542" s="38"/>
      <c r="CE542" s="38"/>
      <c r="CF542" s="38"/>
      <c r="CG542" s="38"/>
      <c r="CH542" s="38"/>
    </row>
    <row r="543" spans="1:86">
      <c r="A543" s="33">
        <v>45930</v>
      </c>
      <c r="B543" s="1" t="s">
        <v>825</v>
      </c>
      <c r="C543" s="1" t="s">
        <v>825</v>
      </c>
      <c r="D543" s="1"/>
      <c r="E543" s="38" t="s">
        <v>50</v>
      </c>
      <c r="F543" s="38">
        <v>110</v>
      </c>
      <c r="G543" s="38" t="s">
        <v>590</v>
      </c>
      <c r="H543" s="38">
        <v>68</v>
      </c>
      <c r="I543" s="38">
        <v>712</v>
      </c>
      <c r="J543" s="11">
        <f t="shared" si="161"/>
        <v>1424</v>
      </c>
      <c r="K543" s="5">
        <f t="shared" si="162"/>
        <v>19037.433155080213</v>
      </c>
      <c r="L543" s="39">
        <v>2</v>
      </c>
      <c r="M543" s="37">
        <f t="shared" si="157"/>
        <v>2</v>
      </c>
      <c r="N543" s="38"/>
      <c r="O543" s="46"/>
      <c r="P543" s="42"/>
      <c r="Q543" s="38"/>
      <c r="R543" s="38"/>
      <c r="S543" s="38"/>
      <c r="T543" s="38"/>
      <c r="U543" s="37">
        <f t="shared" si="158"/>
        <v>2</v>
      </c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43"/>
      <c r="AH543" s="44"/>
      <c r="AI543" s="45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  <c r="BS543" s="38"/>
      <c r="BT543" s="38"/>
      <c r="BU543" s="38"/>
      <c r="BV543" s="38"/>
      <c r="BW543" s="38"/>
      <c r="BX543" s="38"/>
      <c r="BY543" s="38"/>
      <c r="BZ543" s="38"/>
      <c r="CA543" s="38"/>
      <c r="CB543" s="38"/>
      <c r="CC543" s="38"/>
      <c r="CD543" s="38"/>
      <c r="CE543" s="38"/>
      <c r="CF543" s="38"/>
      <c r="CG543" s="38"/>
      <c r="CH543" s="38"/>
    </row>
    <row r="544" spans="1:86">
      <c r="A544" s="33">
        <v>45930</v>
      </c>
      <c r="B544" s="1" t="s">
        <v>825</v>
      </c>
      <c r="C544" s="1" t="s">
        <v>825</v>
      </c>
      <c r="D544" s="1"/>
      <c r="E544" s="38" t="s">
        <v>50</v>
      </c>
      <c r="F544" s="38">
        <v>110</v>
      </c>
      <c r="G544" s="38" t="s">
        <v>590</v>
      </c>
      <c r="H544" s="38">
        <v>68</v>
      </c>
      <c r="I544" s="38">
        <v>723</v>
      </c>
      <c r="J544" s="11">
        <f t="shared" si="161"/>
        <v>723</v>
      </c>
      <c r="K544" s="5">
        <f t="shared" si="162"/>
        <v>9665.7754010695189</v>
      </c>
      <c r="L544" s="39">
        <v>1</v>
      </c>
      <c r="M544" s="37">
        <f t="shared" si="157"/>
        <v>1</v>
      </c>
      <c r="N544" s="38"/>
      <c r="O544" s="46"/>
      <c r="P544" s="42"/>
      <c r="Q544" s="38"/>
      <c r="R544" s="38"/>
      <c r="S544" s="38"/>
      <c r="T544" s="38"/>
      <c r="U544" s="37">
        <f t="shared" si="158"/>
        <v>1</v>
      </c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43"/>
      <c r="AH544" s="44"/>
      <c r="AI544" s="45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  <c r="BS544" s="38"/>
      <c r="BT544" s="38"/>
      <c r="BU544" s="38"/>
      <c r="BV544" s="38"/>
      <c r="BW544" s="38"/>
      <c r="BX544" s="38"/>
      <c r="BY544" s="38"/>
      <c r="BZ544" s="38"/>
      <c r="CA544" s="38"/>
      <c r="CB544" s="38"/>
      <c r="CC544" s="38"/>
      <c r="CD544" s="38"/>
      <c r="CE544" s="38"/>
      <c r="CF544" s="38"/>
      <c r="CG544" s="38"/>
      <c r="CH544" s="38"/>
    </row>
    <row r="545" spans="1:86">
      <c r="A545" s="33">
        <v>45930</v>
      </c>
      <c r="B545" s="1" t="s">
        <v>825</v>
      </c>
      <c r="C545" s="1" t="s">
        <v>825</v>
      </c>
      <c r="D545" s="1"/>
      <c r="E545" s="38" t="s">
        <v>50</v>
      </c>
      <c r="F545" s="38">
        <v>110</v>
      </c>
      <c r="G545" s="38" t="s">
        <v>590</v>
      </c>
      <c r="H545" s="38">
        <v>68</v>
      </c>
      <c r="I545" s="38">
        <v>717</v>
      </c>
      <c r="J545" s="11">
        <f t="shared" si="161"/>
        <v>717</v>
      </c>
      <c r="K545" s="5">
        <f t="shared" si="162"/>
        <v>9585.5614973262018</v>
      </c>
      <c r="L545" s="39">
        <v>1</v>
      </c>
      <c r="M545" s="37">
        <f t="shared" si="157"/>
        <v>1</v>
      </c>
      <c r="N545" s="38"/>
      <c r="O545" s="46"/>
      <c r="P545" s="42"/>
      <c r="Q545" s="38"/>
      <c r="R545" s="38"/>
      <c r="S545" s="38"/>
      <c r="T545" s="38"/>
      <c r="U545" s="37">
        <f t="shared" si="158"/>
        <v>1</v>
      </c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43"/>
      <c r="AH545" s="44"/>
      <c r="AI545" s="45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  <c r="BS545" s="38"/>
      <c r="BT545" s="38"/>
      <c r="BU545" s="38"/>
      <c r="BV545" s="38"/>
      <c r="BW545" s="38"/>
      <c r="BX545" s="38"/>
      <c r="BY545" s="38"/>
      <c r="BZ545" s="38"/>
      <c r="CA545" s="38"/>
      <c r="CB545" s="38"/>
      <c r="CC545" s="38"/>
      <c r="CD545" s="38"/>
      <c r="CE545" s="38"/>
      <c r="CF545" s="38"/>
      <c r="CG545" s="38"/>
      <c r="CH545" s="38"/>
    </row>
    <row r="546" spans="1:86">
      <c r="A546" s="33">
        <v>45930</v>
      </c>
      <c r="B546" s="1" t="s">
        <v>825</v>
      </c>
      <c r="C546" s="1" t="s">
        <v>825</v>
      </c>
      <c r="D546" s="1"/>
      <c r="E546" s="38" t="s">
        <v>50</v>
      </c>
      <c r="F546" s="38">
        <v>110</v>
      </c>
      <c r="G546" s="38" t="s">
        <v>590</v>
      </c>
      <c r="H546" s="38">
        <v>68</v>
      </c>
      <c r="I546" s="38">
        <v>710</v>
      </c>
      <c r="J546" s="11">
        <f t="shared" si="161"/>
        <v>710</v>
      </c>
      <c r="K546" s="5">
        <f t="shared" si="162"/>
        <v>9491.9786096256685</v>
      </c>
      <c r="L546" s="39">
        <v>1</v>
      </c>
      <c r="M546" s="37">
        <f t="shared" si="157"/>
        <v>1</v>
      </c>
      <c r="N546" s="38"/>
      <c r="O546" s="46"/>
      <c r="P546" s="42"/>
      <c r="Q546" s="38"/>
      <c r="R546" s="38"/>
      <c r="S546" s="38"/>
      <c r="T546" s="38"/>
      <c r="U546" s="37">
        <f t="shared" si="158"/>
        <v>1</v>
      </c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43"/>
      <c r="AH546" s="44"/>
      <c r="AI546" s="45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  <c r="BS546" s="38"/>
      <c r="BT546" s="38"/>
      <c r="BU546" s="38"/>
      <c r="BV546" s="38"/>
      <c r="BW546" s="38"/>
      <c r="BX546" s="38"/>
      <c r="BY546" s="38"/>
      <c r="BZ546" s="38"/>
      <c r="CA546" s="38"/>
      <c r="CB546" s="38"/>
      <c r="CC546" s="38"/>
      <c r="CD546" s="38"/>
      <c r="CE546" s="38"/>
      <c r="CF546" s="38"/>
      <c r="CG546" s="38"/>
      <c r="CH546" s="38"/>
    </row>
    <row r="547" spans="1:86">
      <c r="A547" s="33">
        <v>45930</v>
      </c>
      <c r="B547" s="1" t="s">
        <v>826</v>
      </c>
      <c r="C547" s="1" t="s">
        <v>826</v>
      </c>
      <c r="D547" s="1"/>
      <c r="E547" s="38" t="s">
        <v>50</v>
      </c>
      <c r="F547" s="38">
        <v>110</v>
      </c>
      <c r="G547" s="38" t="s">
        <v>590</v>
      </c>
      <c r="H547" s="38">
        <v>165</v>
      </c>
      <c r="I547" s="38">
        <v>1706</v>
      </c>
      <c r="J547" s="11">
        <f t="shared" si="161"/>
        <v>1706</v>
      </c>
      <c r="K547" s="5">
        <f t="shared" si="162"/>
        <v>9399.4490358126714</v>
      </c>
      <c r="L547" s="39">
        <v>1</v>
      </c>
      <c r="M547" s="37">
        <f t="shared" si="157"/>
        <v>1</v>
      </c>
      <c r="N547" s="38"/>
      <c r="O547" s="46"/>
      <c r="P547" s="42"/>
      <c r="Q547" s="38"/>
      <c r="R547" s="38"/>
      <c r="S547" s="38"/>
      <c r="T547" s="38"/>
      <c r="U547" s="37">
        <f t="shared" si="158"/>
        <v>1</v>
      </c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43"/>
      <c r="AH547" s="44"/>
      <c r="AI547" s="45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  <c r="BS547" s="38"/>
      <c r="BT547" s="38"/>
      <c r="BU547" s="38"/>
      <c r="BV547" s="38"/>
      <c r="BW547" s="38"/>
      <c r="BX547" s="38"/>
      <c r="BY547" s="38"/>
      <c r="BZ547" s="38"/>
      <c r="CA547" s="38"/>
      <c r="CB547" s="38"/>
      <c r="CC547" s="38"/>
      <c r="CD547" s="38"/>
      <c r="CE547" s="38"/>
      <c r="CF547" s="38"/>
      <c r="CG547" s="38"/>
      <c r="CH547" s="38"/>
    </row>
    <row r="548" spans="1:86">
      <c r="A548" s="33">
        <v>45932</v>
      </c>
      <c r="B548" s="1" t="s">
        <v>825</v>
      </c>
      <c r="C548" s="1" t="s">
        <v>825</v>
      </c>
      <c r="D548" s="1"/>
      <c r="E548" s="38" t="s">
        <v>50</v>
      </c>
      <c r="F548" s="38">
        <v>110</v>
      </c>
      <c r="G548" s="38" t="s">
        <v>590</v>
      </c>
      <c r="H548" s="38">
        <v>68</v>
      </c>
      <c r="I548" s="38">
        <v>721</v>
      </c>
      <c r="J548" s="11">
        <f t="shared" ref="J548" si="163">IFERROR(IF(AND(V548=3,U548&gt;0),I548,I548*U548),"Verify")</f>
        <v>721</v>
      </c>
      <c r="K548" s="5">
        <f t="shared" ref="K548" si="164">+J548/(F548*H548*10^-5)</f>
        <v>9639.0374331550793</v>
      </c>
      <c r="L548" s="39">
        <v>1</v>
      </c>
      <c r="M548" s="37">
        <f t="shared" si="157"/>
        <v>1</v>
      </c>
      <c r="N548" s="38"/>
      <c r="O548" s="46"/>
      <c r="P548" s="42"/>
      <c r="Q548" s="38"/>
      <c r="R548" s="38"/>
      <c r="S548" s="38"/>
      <c r="T548" s="38"/>
      <c r="U548" s="37">
        <f t="shared" si="158"/>
        <v>1</v>
      </c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43"/>
      <c r="AH548" s="44"/>
      <c r="AI548" s="45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</row>
    <row r="549" spans="1:86">
      <c r="A549" s="33">
        <v>45932</v>
      </c>
      <c r="B549" s="1" t="s">
        <v>827</v>
      </c>
      <c r="C549" s="1" t="s">
        <v>827</v>
      </c>
      <c r="D549" s="1"/>
      <c r="E549" s="38" t="s">
        <v>50</v>
      </c>
      <c r="F549" s="38">
        <v>110</v>
      </c>
      <c r="G549" s="38" t="s">
        <v>590</v>
      </c>
      <c r="H549" s="38">
        <v>175</v>
      </c>
      <c r="I549" s="38">
        <v>1806</v>
      </c>
      <c r="J549" s="11">
        <f t="shared" ref="J549:J561" si="165">IFERROR(IF(AND(V549=3,U549&gt;0),I549,I549*U549),"Verify")</f>
        <v>1806</v>
      </c>
      <c r="K549" s="5">
        <f t="shared" ref="K549:K561" si="166">+J549/(F549*H549*10^-5)</f>
        <v>9381.818181818182</v>
      </c>
      <c r="L549" s="39">
        <v>1</v>
      </c>
      <c r="M549" s="37">
        <f t="shared" si="157"/>
        <v>1</v>
      </c>
      <c r="N549" s="38"/>
      <c r="O549" s="46"/>
      <c r="P549" s="42"/>
      <c r="Q549" s="38"/>
      <c r="R549" s="38"/>
      <c r="S549" s="38"/>
      <c r="T549" s="38"/>
      <c r="U549" s="37">
        <f t="shared" si="158"/>
        <v>1</v>
      </c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43"/>
      <c r="AH549" s="44"/>
      <c r="AI549" s="45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  <c r="CH549" s="38"/>
    </row>
    <row r="550" spans="1:86">
      <c r="A550" s="33">
        <v>45932</v>
      </c>
      <c r="B550" s="1" t="s">
        <v>827</v>
      </c>
      <c r="C550" s="1" t="s">
        <v>827</v>
      </c>
      <c r="D550" s="1"/>
      <c r="E550" s="38" t="s">
        <v>50</v>
      </c>
      <c r="F550" s="38">
        <v>110</v>
      </c>
      <c r="G550" s="38" t="s">
        <v>590</v>
      </c>
      <c r="H550" s="38">
        <v>175</v>
      </c>
      <c r="I550" s="38">
        <v>1803</v>
      </c>
      <c r="J550" s="11">
        <f t="shared" si="165"/>
        <v>1803</v>
      </c>
      <c r="K550" s="5">
        <f t="shared" si="166"/>
        <v>9366.2337662337668</v>
      </c>
      <c r="L550" s="39">
        <v>1</v>
      </c>
      <c r="M550" s="37">
        <f t="shared" si="157"/>
        <v>1</v>
      </c>
      <c r="N550" s="38"/>
      <c r="O550" s="46"/>
      <c r="P550" s="42"/>
      <c r="Q550" s="38"/>
      <c r="R550" s="38"/>
      <c r="S550" s="38"/>
      <c r="T550" s="38"/>
      <c r="U550" s="37">
        <f t="shared" si="158"/>
        <v>1</v>
      </c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43"/>
      <c r="AH550" s="44"/>
      <c r="AI550" s="45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  <c r="CH550" s="38"/>
    </row>
    <row r="551" spans="1:86">
      <c r="A551" s="33">
        <v>45932</v>
      </c>
      <c r="B551" s="1" t="s">
        <v>821</v>
      </c>
      <c r="C551" s="1" t="s">
        <v>821</v>
      </c>
      <c r="D551" s="1"/>
      <c r="E551" s="38" t="s">
        <v>41</v>
      </c>
      <c r="F551" s="38">
        <v>100</v>
      </c>
      <c r="G551" s="38" t="s">
        <v>590</v>
      </c>
      <c r="H551" s="38">
        <v>97</v>
      </c>
      <c r="I551" s="38">
        <v>923</v>
      </c>
      <c r="J551" s="11">
        <f t="shared" si="165"/>
        <v>923</v>
      </c>
      <c r="K551" s="5">
        <f t="shared" si="166"/>
        <v>9515.4639175257726</v>
      </c>
      <c r="L551" s="39">
        <v>1</v>
      </c>
      <c r="M551" s="37">
        <f t="shared" si="157"/>
        <v>1</v>
      </c>
      <c r="N551" s="38"/>
      <c r="O551" s="46"/>
      <c r="P551" s="42">
        <f t="shared" ref="P551:P556" si="167">+J551-O551</f>
        <v>923</v>
      </c>
      <c r="Q551" s="38"/>
      <c r="R551" s="38"/>
      <c r="S551" s="38"/>
      <c r="T551" s="38"/>
      <c r="U551" s="37">
        <f t="shared" si="158"/>
        <v>1</v>
      </c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43"/>
      <c r="AH551" s="44"/>
      <c r="AI551" s="45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  <c r="CH551" s="38"/>
    </row>
    <row r="552" spans="1:86">
      <c r="A552" s="33">
        <v>45932</v>
      </c>
      <c r="B552" s="1" t="s">
        <v>821</v>
      </c>
      <c r="C552" s="1" t="s">
        <v>821</v>
      </c>
      <c r="D552" s="1"/>
      <c r="E552" s="38" t="s">
        <v>41</v>
      </c>
      <c r="F552" s="38">
        <v>100</v>
      </c>
      <c r="G552" s="38" t="s">
        <v>590</v>
      </c>
      <c r="H552" s="38">
        <v>97</v>
      </c>
      <c r="I552" s="38">
        <v>921</v>
      </c>
      <c r="J552" s="11">
        <f t="shared" si="165"/>
        <v>921</v>
      </c>
      <c r="K552" s="5">
        <f t="shared" si="166"/>
        <v>9494.8453608247419</v>
      </c>
      <c r="L552" s="39">
        <v>1</v>
      </c>
      <c r="M552" s="37">
        <f t="shared" si="157"/>
        <v>1</v>
      </c>
      <c r="N552" s="38"/>
      <c r="O552" s="46"/>
      <c r="P552" s="42">
        <f t="shared" si="167"/>
        <v>921</v>
      </c>
      <c r="Q552" s="38"/>
      <c r="R552" s="38"/>
      <c r="S552" s="38"/>
      <c r="T552" s="38"/>
      <c r="U552" s="37">
        <f t="shared" si="158"/>
        <v>1</v>
      </c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43"/>
      <c r="AH552" s="44"/>
      <c r="AI552" s="45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  <c r="CH552" s="38"/>
    </row>
    <row r="553" spans="1:86">
      <c r="A553" s="33">
        <v>45932</v>
      </c>
      <c r="B553" s="1" t="s">
        <v>821</v>
      </c>
      <c r="C553" s="1" t="s">
        <v>821</v>
      </c>
      <c r="D553" s="1"/>
      <c r="E553" s="38" t="s">
        <v>41</v>
      </c>
      <c r="F553" s="38">
        <v>100</v>
      </c>
      <c r="G553" s="38" t="s">
        <v>590</v>
      </c>
      <c r="H553" s="38">
        <v>97</v>
      </c>
      <c r="I553" s="38">
        <v>919</v>
      </c>
      <c r="J553" s="11">
        <f t="shared" si="165"/>
        <v>919</v>
      </c>
      <c r="K553" s="5">
        <f t="shared" si="166"/>
        <v>9474.2268041237112</v>
      </c>
      <c r="L553" s="39">
        <v>1</v>
      </c>
      <c r="M553" s="37">
        <f t="shared" si="157"/>
        <v>1</v>
      </c>
      <c r="N553" s="38"/>
      <c r="O553" s="46"/>
      <c r="P553" s="42">
        <f t="shared" si="167"/>
        <v>919</v>
      </c>
      <c r="Q553" s="38"/>
      <c r="R553" s="38"/>
      <c r="S553" s="38"/>
      <c r="T553" s="38"/>
      <c r="U553" s="37">
        <f t="shared" si="158"/>
        <v>1</v>
      </c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43"/>
      <c r="AH553" s="44"/>
      <c r="AI553" s="45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</row>
    <row r="554" spans="1:86">
      <c r="A554" s="33">
        <v>45932</v>
      </c>
      <c r="B554" s="1" t="s">
        <v>821</v>
      </c>
      <c r="C554" s="1" t="s">
        <v>821</v>
      </c>
      <c r="D554" s="1"/>
      <c r="E554" s="38" t="s">
        <v>41</v>
      </c>
      <c r="F554" s="38">
        <v>100</v>
      </c>
      <c r="G554" s="38" t="s">
        <v>590</v>
      </c>
      <c r="H554" s="38">
        <v>97</v>
      </c>
      <c r="I554" s="38">
        <v>932</v>
      </c>
      <c r="J554" s="11">
        <f t="shared" si="165"/>
        <v>932</v>
      </c>
      <c r="K554" s="5">
        <f t="shared" si="166"/>
        <v>9608.2474226804115</v>
      </c>
      <c r="L554" s="39">
        <v>1</v>
      </c>
      <c r="M554" s="37">
        <f t="shared" si="157"/>
        <v>1</v>
      </c>
      <c r="N554" s="38"/>
      <c r="O554" s="46"/>
      <c r="P554" s="42">
        <f t="shared" si="167"/>
        <v>932</v>
      </c>
      <c r="Q554" s="38"/>
      <c r="R554" s="38"/>
      <c r="S554" s="38"/>
      <c r="T554" s="38"/>
      <c r="U554" s="37">
        <f t="shared" si="158"/>
        <v>1</v>
      </c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43"/>
      <c r="AH554" s="44"/>
      <c r="AI554" s="45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</row>
    <row r="555" spans="1:86">
      <c r="A555" s="33">
        <v>45932</v>
      </c>
      <c r="B555" s="1" t="s">
        <v>821</v>
      </c>
      <c r="C555" s="1" t="s">
        <v>821</v>
      </c>
      <c r="D555" s="1"/>
      <c r="E555" s="38" t="s">
        <v>41</v>
      </c>
      <c r="F555" s="38">
        <v>100</v>
      </c>
      <c r="G555" s="38" t="s">
        <v>590</v>
      </c>
      <c r="H555" s="38">
        <v>97</v>
      </c>
      <c r="I555" s="38">
        <v>933</v>
      </c>
      <c r="J555" s="11">
        <f t="shared" si="165"/>
        <v>933</v>
      </c>
      <c r="K555" s="5">
        <f t="shared" si="166"/>
        <v>9618.5567010309278</v>
      </c>
      <c r="L555" s="39">
        <v>1</v>
      </c>
      <c r="M555" s="37">
        <f t="shared" si="157"/>
        <v>1</v>
      </c>
      <c r="N555" s="38"/>
      <c r="O555" s="46"/>
      <c r="P555" s="42">
        <f t="shared" si="167"/>
        <v>933</v>
      </c>
      <c r="Q555" s="38"/>
      <c r="R555" s="38"/>
      <c r="S555" s="38"/>
      <c r="T555" s="38"/>
      <c r="U555" s="37">
        <f t="shared" si="158"/>
        <v>1</v>
      </c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43"/>
      <c r="AH555" s="44"/>
      <c r="AI555" s="45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  <c r="CH555" s="38"/>
    </row>
    <row r="556" spans="1:86">
      <c r="A556" s="33">
        <v>45932</v>
      </c>
      <c r="B556" s="1" t="s">
        <v>821</v>
      </c>
      <c r="C556" s="1" t="s">
        <v>821</v>
      </c>
      <c r="D556" s="1"/>
      <c r="E556" s="38" t="s">
        <v>41</v>
      </c>
      <c r="F556" s="38">
        <v>100</v>
      </c>
      <c r="G556" s="38" t="s">
        <v>590</v>
      </c>
      <c r="H556" s="38">
        <v>97</v>
      </c>
      <c r="I556" s="38">
        <v>932</v>
      </c>
      <c r="J556" s="11">
        <f t="shared" si="165"/>
        <v>932</v>
      </c>
      <c r="K556" s="5">
        <f t="shared" si="166"/>
        <v>9608.2474226804115</v>
      </c>
      <c r="L556" s="39">
        <v>1</v>
      </c>
      <c r="M556" s="37">
        <f t="shared" si="157"/>
        <v>1</v>
      </c>
      <c r="N556" s="38"/>
      <c r="O556" s="46"/>
      <c r="P556" s="42">
        <f t="shared" si="167"/>
        <v>932</v>
      </c>
      <c r="Q556" s="38"/>
      <c r="R556" s="38"/>
      <c r="S556" s="38"/>
      <c r="T556" s="38"/>
      <c r="U556" s="37">
        <f t="shared" si="158"/>
        <v>1</v>
      </c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43"/>
      <c r="AH556" s="44"/>
      <c r="AI556" s="45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  <c r="CH556" s="38"/>
    </row>
    <row r="557" spans="1:86">
      <c r="A557" s="33">
        <v>45932</v>
      </c>
      <c r="B557" s="1" t="s">
        <v>830</v>
      </c>
      <c r="C557" s="1" t="s">
        <v>830</v>
      </c>
      <c r="D557" s="1"/>
      <c r="E557" s="38" t="s">
        <v>41</v>
      </c>
      <c r="F557" s="38">
        <v>120</v>
      </c>
      <c r="G557" s="38" t="s">
        <v>590</v>
      </c>
      <c r="H557" s="38">
        <v>106.5</v>
      </c>
      <c r="I557" s="38">
        <v>986</v>
      </c>
      <c r="J557" s="11">
        <f t="shared" si="165"/>
        <v>986</v>
      </c>
      <c r="K557" s="5">
        <f t="shared" si="166"/>
        <v>7715.1799687010953</v>
      </c>
      <c r="L557" s="39">
        <v>1</v>
      </c>
      <c r="M557" s="37">
        <f t="shared" si="157"/>
        <v>1</v>
      </c>
      <c r="N557" s="38"/>
      <c r="O557" s="46"/>
      <c r="P557" s="42"/>
      <c r="Q557" s="38"/>
      <c r="R557" s="38"/>
      <c r="S557" s="38"/>
      <c r="T557" s="38"/>
      <c r="U557" s="37">
        <f t="shared" si="158"/>
        <v>1</v>
      </c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43"/>
      <c r="AH557" s="44"/>
      <c r="AI557" s="45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  <c r="CH557" s="38"/>
    </row>
    <row r="558" spans="1:86">
      <c r="A558" s="33">
        <v>45932</v>
      </c>
      <c r="B558" s="1" t="s">
        <v>830</v>
      </c>
      <c r="C558" s="1" t="s">
        <v>830</v>
      </c>
      <c r="D558" s="1"/>
      <c r="E558" s="38" t="s">
        <v>41</v>
      </c>
      <c r="F558" s="38">
        <v>120</v>
      </c>
      <c r="G558" s="38" t="s">
        <v>590</v>
      </c>
      <c r="H558" s="38">
        <v>106.5</v>
      </c>
      <c r="I558" s="38">
        <v>992</v>
      </c>
      <c r="J558" s="11">
        <f t="shared" si="165"/>
        <v>992</v>
      </c>
      <c r="K558" s="5">
        <f t="shared" si="166"/>
        <v>7762.1283255086073</v>
      </c>
      <c r="L558" s="39">
        <v>1</v>
      </c>
      <c r="M558" s="37">
        <f t="shared" si="157"/>
        <v>1</v>
      </c>
      <c r="N558" s="38"/>
      <c r="O558" s="46"/>
      <c r="P558" s="42"/>
      <c r="Q558" s="38"/>
      <c r="R558" s="38"/>
      <c r="S558" s="38"/>
      <c r="T558" s="38"/>
      <c r="U558" s="37">
        <f t="shared" si="158"/>
        <v>1</v>
      </c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43"/>
      <c r="AH558" s="44"/>
      <c r="AI558" s="45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</row>
    <row r="559" spans="1:86">
      <c r="A559" s="33">
        <v>45932</v>
      </c>
      <c r="B559" s="1"/>
      <c r="C559" s="1" t="s">
        <v>809</v>
      </c>
      <c r="D559" s="1"/>
      <c r="E559" s="38" t="s">
        <v>41</v>
      </c>
      <c r="F559" s="38">
        <v>120</v>
      </c>
      <c r="G559" s="38" t="s">
        <v>590</v>
      </c>
      <c r="H559" s="38">
        <v>125</v>
      </c>
      <c r="I559" s="38">
        <v>1128</v>
      </c>
      <c r="J559" s="11">
        <f t="shared" si="165"/>
        <v>1128</v>
      </c>
      <c r="K559" s="5">
        <f t="shared" si="166"/>
        <v>7519.9999999999991</v>
      </c>
      <c r="L559" s="39">
        <v>1</v>
      </c>
      <c r="M559" s="37">
        <f t="shared" si="157"/>
        <v>1</v>
      </c>
      <c r="N559" s="38"/>
      <c r="O559" s="46"/>
      <c r="P559" s="42"/>
      <c r="Q559" s="38"/>
      <c r="R559" s="38"/>
      <c r="S559" s="38"/>
      <c r="T559" s="38"/>
      <c r="U559" s="37">
        <f t="shared" si="158"/>
        <v>1</v>
      </c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43"/>
      <c r="AH559" s="44"/>
      <c r="AI559" s="45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  <c r="CH559" s="38"/>
    </row>
    <row r="560" spans="1:86">
      <c r="A560" s="33">
        <v>45932</v>
      </c>
      <c r="B560" s="1"/>
      <c r="C560" s="1" t="s">
        <v>809</v>
      </c>
      <c r="D560" s="1"/>
      <c r="E560" s="38" t="s">
        <v>41</v>
      </c>
      <c r="F560" s="38">
        <v>120</v>
      </c>
      <c r="G560" s="38" t="s">
        <v>590</v>
      </c>
      <c r="H560" s="38">
        <v>125</v>
      </c>
      <c r="I560" s="38">
        <v>1138</v>
      </c>
      <c r="J560" s="11">
        <f t="shared" si="165"/>
        <v>1138</v>
      </c>
      <c r="K560" s="5">
        <f t="shared" si="166"/>
        <v>7586.6666666666652</v>
      </c>
      <c r="L560" s="39">
        <v>1</v>
      </c>
      <c r="M560" s="37">
        <f t="shared" si="157"/>
        <v>1</v>
      </c>
      <c r="N560" s="38"/>
      <c r="O560" s="46"/>
      <c r="P560" s="42"/>
      <c r="Q560" s="38"/>
      <c r="R560" s="38"/>
      <c r="S560" s="38"/>
      <c r="T560" s="38"/>
      <c r="U560" s="37">
        <f t="shared" si="158"/>
        <v>1</v>
      </c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43"/>
      <c r="AH560" s="44"/>
      <c r="AI560" s="45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  <c r="CH560" s="38"/>
    </row>
    <row r="561" spans="1:86">
      <c r="A561" s="33">
        <v>45932</v>
      </c>
      <c r="B561" s="1"/>
      <c r="C561" s="1" t="s">
        <v>809</v>
      </c>
      <c r="D561" s="1"/>
      <c r="E561" s="38" t="s">
        <v>41</v>
      </c>
      <c r="F561" s="38">
        <v>120</v>
      </c>
      <c r="G561" s="38" t="s">
        <v>590</v>
      </c>
      <c r="H561" s="38">
        <v>125</v>
      </c>
      <c r="I561" s="38">
        <v>1140</v>
      </c>
      <c r="J561" s="11">
        <f t="shared" si="165"/>
        <v>1140</v>
      </c>
      <c r="K561" s="5">
        <f t="shared" si="166"/>
        <v>7599.9999999999991</v>
      </c>
      <c r="L561" s="39">
        <v>1</v>
      </c>
      <c r="M561" s="37">
        <f t="shared" si="157"/>
        <v>1</v>
      </c>
      <c r="N561" s="38"/>
      <c r="O561" s="46"/>
      <c r="P561" s="42"/>
      <c r="Q561" s="38"/>
      <c r="R561" s="38"/>
      <c r="S561" s="38"/>
      <c r="T561" s="38"/>
      <c r="U561" s="37">
        <f t="shared" si="158"/>
        <v>1</v>
      </c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43"/>
      <c r="AH561" s="44"/>
      <c r="AI561" s="45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  <c r="BS561" s="38"/>
      <c r="BT561" s="38"/>
      <c r="BU561" s="38"/>
      <c r="BV561" s="38"/>
      <c r="BW561" s="38"/>
      <c r="BX561" s="38"/>
      <c r="BY561" s="38"/>
      <c r="BZ561" s="38"/>
      <c r="CA561" s="38"/>
      <c r="CB561" s="38"/>
      <c r="CC561" s="38"/>
      <c r="CD561" s="38"/>
      <c r="CE561" s="38"/>
      <c r="CF561" s="38"/>
      <c r="CG561" s="38"/>
      <c r="CH561" s="38"/>
    </row>
    <row r="562" spans="1:86">
      <c r="A562" s="33">
        <v>45933</v>
      </c>
      <c r="B562" s="1" t="s">
        <v>821</v>
      </c>
      <c r="C562" s="1" t="s">
        <v>821</v>
      </c>
      <c r="D562" s="1"/>
      <c r="E562" s="38" t="s">
        <v>41</v>
      </c>
      <c r="F562" s="38">
        <v>100</v>
      </c>
      <c r="G562" s="38" t="s">
        <v>590</v>
      </c>
      <c r="H562" s="38">
        <v>97</v>
      </c>
      <c r="I562" s="38">
        <v>924</v>
      </c>
      <c r="J562" s="11">
        <f t="shared" ref="J562:J574" si="168">IFERROR(IF(AND(V562=3,U562&gt;0),I562,I562*U562),"Verify")</f>
        <v>1848</v>
      </c>
      <c r="K562" s="5">
        <f t="shared" ref="K562:K574" si="169">+J562/(F562*H562*10^-5)</f>
        <v>19051.546391752578</v>
      </c>
      <c r="L562" s="39">
        <v>2</v>
      </c>
      <c r="M562" s="37">
        <f t="shared" ref="M562:M574" si="170">+L562-X562-Z562-AD562-AB562-AF562-AH562-AJ562-AL562-AO562-AQ562-AS562-AU562-AW562-AY562-BA562-BC562-BE562-BG562-BI562-BK562-BM562-BO562-BQ562-BS562-BU562-BW562-BY562-CA562-CC562-CE562-CG562</f>
        <v>2</v>
      </c>
      <c r="N562" s="38"/>
      <c r="O562" s="46"/>
      <c r="P562" s="42">
        <f t="shared" ref="P562:P572" si="171">+J562-O562</f>
        <v>1848</v>
      </c>
      <c r="Q562" s="38"/>
      <c r="R562" s="38"/>
      <c r="S562" s="38"/>
      <c r="T562" s="38"/>
      <c r="U562" s="37">
        <f t="shared" ref="U562:U574" si="172">+L562-X562-Z562-AD562-AB562-AF562-AH562-AJ562-AL562-AO562-AQ562-AS562-AU562-AW562-AY562-BA562-BC562-BE562-BG562-BI562-BK562-BM562-BO562-BQ562-BS562-BU562-BW562-BY562-CA562-CC562-CE562-CG562</f>
        <v>2</v>
      </c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43"/>
      <c r="AH562" s="44"/>
      <c r="AI562" s="45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  <c r="BS562" s="38"/>
      <c r="BT562" s="38"/>
      <c r="BU562" s="38"/>
      <c r="BV562" s="38"/>
      <c r="BW562" s="38"/>
      <c r="BX562" s="38"/>
      <c r="BY562" s="38"/>
      <c r="BZ562" s="38"/>
      <c r="CA562" s="38"/>
      <c r="CB562" s="38"/>
      <c r="CC562" s="38"/>
      <c r="CD562" s="38"/>
      <c r="CE562" s="38"/>
      <c r="CF562" s="38"/>
      <c r="CG562" s="38"/>
      <c r="CH562" s="38"/>
    </row>
    <row r="563" spans="1:86">
      <c r="A563" s="33">
        <v>45933</v>
      </c>
      <c r="B563" s="1" t="s">
        <v>821</v>
      </c>
      <c r="C563" s="1" t="s">
        <v>821</v>
      </c>
      <c r="D563" s="1"/>
      <c r="E563" s="38" t="s">
        <v>41</v>
      </c>
      <c r="F563" s="38">
        <v>100</v>
      </c>
      <c r="G563" s="38" t="s">
        <v>590</v>
      </c>
      <c r="H563" s="38">
        <v>97</v>
      </c>
      <c r="I563" s="38">
        <v>934</v>
      </c>
      <c r="J563" s="11">
        <f t="shared" si="168"/>
        <v>934</v>
      </c>
      <c r="K563" s="5">
        <f t="shared" si="169"/>
        <v>9628.8659793814422</v>
      </c>
      <c r="L563" s="39">
        <v>1</v>
      </c>
      <c r="M563" s="37">
        <f t="shared" si="170"/>
        <v>1</v>
      </c>
      <c r="N563" s="38"/>
      <c r="O563" s="46"/>
      <c r="P563" s="42">
        <f t="shared" si="171"/>
        <v>934</v>
      </c>
      <c r="Q563" s="38"/>
      <c r="R563" s="38"/>
      <c r="S563" s="38"/>
      <c r="T563" s="38"/>
      <c r="U563" s="37">
        <f t="shared" si="172"/>
        <v>1</v>
      </c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43"/>
      <c r="AH563" s="44"/>
      <c r="AI563" s="45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  <c r="BS563" s="38"/>
      <c r="BT563" s="38"/>
      <c r="BU563" s="38"/>
      <c r="BV563" s="38"/>
      <c r="BW563" s="38"/>
      <c r="BX563" s="38"/>
      <c r="BY563" s="38"/>
      <c r="BZ563" s="38"/>
      <c r="CA563" s="38"/>
      <c r="CB563" s="38"/>
      <c r="CC563" s="38"/>
      <c r="CD563" s="38"/>
      <c r="CE563" s="38"/>
      <c r="CF563" s="38"/>
      <c r="CG563" s="38"/>
      <c r="CH563" s="38"/>
    </row>
    <row r="564" spans="1:86">
      <c r="A564" s="33">
        <v>45933</v>
      </c>
      <c r="B564" s="1" t="s">
        <v>821</v>
      </c>
      <c r="C564" s="1" t="s">
        <v>821</v>
      </c>
      <c r="D564" s="1"/>
      <c r="E564" s="38" t="s">
        <v>41</v>
      </c>
      <c r="F564" s="38">
        <v>100</v>
      </c>
      <c r="G564" s="38" t="s">
        <v>590</v>
      </c>
      <c r="H564" s="38">
        <v>97</v>
      </c>
      <c r="I564" s="38">
        <v>939</v>
      </c>
      <c r="J564" s="11">
        <f t="shared" si="168"/>
        <v>939</v>
      </c>
      <c r="K564" s="5">
        <f t="shared" si="169"/>
        <v>9680.4123711340198</v>
      </c>
      <c r="L564" s="39">
        <v>1</v>
      </c>
      <c r="M564" s="37">
        <f t="shared" si="170"/>
        <v>1</v>
      </c>
      <c r="N564" s="38"/>
      <c r="O564" s="46"/>
      <c r="P564" s="42">
        <f t="shared" si="171"/>
        <v>939</v>
      </c>
      <c r="Q564" s="38"/>
      <c r="R564" s="38"/>
      <c r="S564" s="38"/>
      <c r="T564" s="38"/>
      <c r="U564" s="37">
        <f t="shared" si="172"/>
        <v>1</v>
      </c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43"/>
      <c r="AH564" s="44"/>
      <c r="AI564" s="45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  <c r="BS564" s="38"/>
      <c r="BT564" s="38"/>
      <c r="BU564" s="38"/>
      <c r="BV564" s="38"/>
      <c r="BW564" s="38"/>
      <c r="BX564" s="38"/>
      <c r="BY564" s="38"/>
      <c r="BZ564" s="38"/>
      <c r="CA564" s="38"/>
      <c r="CB564" s="38"/>
      <c r="CC564" s="38"/>
      <c r="CD564" s="38"/>
      <c r="CE564" s="38"/>
      <c r="CF564" s="38"/>
      <c r="CG564" s="38"/>
      <c r="CH564" s="38"/>
    </row>
    <row r="565" spans="1:86">
      <c r="A565" s="33">
        <v>45933</v>
      </c>
      <c r="B565" s="1" t="s">
        <v>821</v>
      </c>
      <c r="C565" s="1" t="s">
        <v>821</v>
      </c>
      <c r="D565" s="1"/>
      <c r="E565" s="38" t="s">
        <v>41</v>
      </c>
      <c r="F565" s="38">
        <v>100</v>
      </c>
      <c r="G565" s="38" t="s">
        <v>590</v>
      </c>
      <c r="H565" s="38">
        <v>97</v>
      </c>
      <c r="I565" s="38">
        <v>919</v>
      </c>
      <c r="J565" s="11">
        <f t="shared" si="168"/>
        <v>1838</v>
      </c>
      <c r="K565" s="5">
        <f t="shared" si="169"/>
        <v>18948.453608247422</v>
      </c>
      <c r="L565" s="39">
        <v>2</v>
      </c>
      <c r="M565" s="37">
        <f t="shared" si="170"/>
        <v>2</v>
      </c>
      <c r="N565" s="38"/>
      <c r="O565" s="46"/>
      <c r="P565" s="42">
        <f t="shared" si="171"/>
        <v>1838</v>
      </c>
      <c r="Q565" s="38"/>
      <c r="R565" s="38"/>
      <c r="S565" s="38"/>
      <c r="T565" s="38"/>
      <c r="U565" s="37">
        <f t="shared" si="172"/>
        <v>2</v>
      </c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43"/>
      <c r="AH565" s="44"/>
      <c r="AI565" s="45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  <c r="BW565" s="38"/>
      <c r="BX565" s="38"/>
      <c r="BY565" s="38"/>
      <c r="BZ565" s="38"/>
      <c r="CA565" s="38"/>
      <c r="CB565" s="38"/>
      <c r="CC565" s="38"/>
      <c r="CD565" s="38"/>
      <c r="CE565" s="38"/>
      <c r="CF565" s="38"/>
      <c r="CG565" s="38"/>
      <c r="CH565" s="38"/>
    </row>
    <row r="566" spans="1:86">
      <c r="A566" s="33">
        <v>45933</v>
      </c>
      <c r="B566" s="1" t="s">
        <v>821</v>
      </c>
      <c r="C566" s="1" t="s">
        <v>821</v>
      </c>
      <c r="D566" s="1"/>
      <c r="E566" s="38" t="s">
        <v>41</v>
      </c>
      <c r="F566" s="38">
        <v>100</v>
      </c>
      <c r="G566" s="38" t="s">
        <v>590</v>
      </c>
      <c r="H566" s="38">
        <v>97</v>
      </c>
      <c r="I566" s="38">
        <v>925</v>
      </c>
      <c r="J566" s="11">
        <f t="shared" si="168"/>
        <v>925</v>
      </c>
      <c r="K566" s="5">
        <f t="shared" si="169"/>
        <v>9536.0824742268032</v>
      </c>
      <c r="L566" s="39">
        <v>1</v>
      </c>
      <c r="M566" s="37">
        <f t="shared" si="170"/>
        <v>1</v>
      </c>
      <c r="N566" s="38"/>
      <c r="O566" s="46"/>
      <c r="P566" s="42">
        <f t="shared" si="171"/>
        <v>925</v>
      </c>
      <c r="Q566" s="38"/>
      <c r="R566" s="38"/>
      <c r="S566" s="38"/>
      <c r="T566" s="38"/>
      <c r="U566" s="37">
        <f t="shared" si="172"/>
        <v>1</v>
      </c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43"/>
      <c r="AH566" s="44"/>
      <c r="AI566" s="45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  <c r="BW566" s="38"/>
      <c r="BX566" s="38"/>
      <c r="BY566" s="38"/>
      <c r="BZ566" s="38"/>
      <c r="CA566" s="38"/>
      <c r="CB566" s="38"/>
      <c r="CC566" s="38"/>
      <c r="CD566" s="38"/>
      <c r="CE566" s="38"/>
      <c r="CF566" s="38"/>
      <c r="CG566" s="38"/>
      <c r="CH566" s="38"/>
    </row>
    <row r="567" spans="1:86">
      <c r="A567" s="33">
        <v>45933</v>
      </c>
      <c r="B567" s="1" t="s">
        <v>821</v>
      </c>
      <c r="C567" s="1" t="s">
        <v>821</v>
      </c>
      <c r="D567" s="1"/>
      <c r="E567" s="38" t="s">
        <v>41</v>
      </c>
      <c r="F567" s="38">
        <v>100</v>
      </c>
      <c r="G567" s="38" t="s">
        <v>590</v>
      </c>
      <c r="H567" s="38">
        <v>97</v>
      </c>
      <c r="I567" s="38">
        <v>923</v>
      </c>
      <c r="J567" s="11">
        <f t="shared" si="168"/>
        <v>2769</v>
      </c>
      <c r="K567" s="5">
        <f t="shared" si="169"/>
        <v>28546.391752577318</v>
      </c>
      <c r="L567" s="39">
        <v>3</v>
      </c>
      <c r="M567" s="37">
        <f t="shared" si="170"/>
        <v>3</v>
      </c>
      <c r="N567" s="38"/>
      <c r="O567" s="46"/>
      <c r="P567" s="42">
        <f t="shared" si="171"/>
        <v>2769</v>
      </c>
      <c r="Q567" s="38"/>
      <c r="R567" s="38"/>
      <c r="S567" s="38"/>
      <c r="T567" s="38"/>
      <c r="U567" s="37">
        <f t="shared" si="172"/>
        <v>3</v>
      </c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43"/>
      <c r="AH567" s="44"/>
      <c r="AI567" s="45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  <c r="BS567" s="38"/>
      <c r="BT567" s="38"/>
      <c r="BU567" s="38"/>
      <c r="BV567" s="38"/>
      <c r="BW567" s="38"/>
      <c r="BX567" s="38"/>
      <c r="BY567" s="38"/>
      <c r="BZ567" s="38"/>
      <c r="CA567" s="38"/>
      <c r="CB567" s="38"/>
      <c r="CC567" s="38"/>
      <c r="CD567" s="38"/>
      <c r="CE567" s="38"/>
      <c r="CF567" s="38"/>
      <c r="CG567" s="38"/>
      <c r="CH567" s="38"/>
    </row>
    <row r="568" spans="1:86">
      <c r="A568" s="33">
        <v>45933</v>
      </c>
      <c r="B568" s="1" t="s">
        <v>821</v>
      </c>
      <c r="C568" s="1" t="s">
        <v>821</v>
      </c>
      <c r="D568" s="1"/>
      <c r="E568" s="38" t="s">
        <v>41</v>
      </c>
      <c r="F568" s="38">
        <v>100</v>
      </c>
      <c r="G568" s="38" t="s">
        <v>590</v>
      </c>
      <c r="H568" s="38">
        <v>97</v>
      </c>
      <c r="I568" s="38">
        <v>922</v>
      </c>
      <c r="J568" s="11">
        <f t="shared" si="168"/>
        <v>922</v>
      </c>
      <c r="K568" s="5">
        <f t="shared" si="169"/>
        <v>9505.1546391752581</v>
      </c>
      <c r="L568" s="39">
        <v>1</v>
      </c>
      <c r="M568" s="37">
        <f t="shared" si="170"/>
        <v>1</v>
      </c>
      <c r="N568" s="38"/>
      <c r="O568" s="46"/>
      <c r="P568" s="42">
        <f t="shared" si="171"/>
        <v>922</v>
      </c>
      <c r="Q568" s="38"/>
      <c r="R568" s="38"/>
      <c r="S568" s="38"/>
      <c r="T568" s="38"/>
      <c r="U568" s="37">
        <f t="shared" si="172"/>
        <v>1</v>
      </c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43"/>
      <c r="AH568" s="44"/>
      <c r="AI568" s="45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  <c r="BS568" s="38"/>
      <c r="BT568" s="38"/>
      <c r="BU568" s="38"/>
      <c r="BV568" s="38"/>
      <c r="BW568" s="38"/>
      <c r="BX568" s="38"/>
      <c r="BY568" s="38"/>
      <c r="BZ568" s="38"/>
      <c r="CA568" s="38"/>
      <c r="CB568" s="38"/>
      <c r="CC568" s="38"/>
      <c r="CD568" s="38"/>
      <c r="CE568" s="38"/>
      <c r="CF568" s="38"/>
      <c r="CG568" s="38"/>
      <c r="CH568" s="38"/>
    </row>
    <row r="569" spans="1:86">
      <c r="A569" s="33">
        <v>45933</v>
      </c>
      <c r="B569" s="1" t="s">
        <v>821</v>
      </c>
      <c r="C569" s="1" t="s">
        <v>821</v>
      </c>
      <c r="D569" s="1"/>
      <c r="E569" s="38" t="s">
        <v>41</v>
      </c>
      <c r="F569" s="38">
        <v>100</v>
      </c>
      <c r="G569" s="38" t="s">
        <v>590</v>
      </c>
      <c r="H569" s="38">
        <v>97</v>
      </c>
      <c r="I569" s="38">
        <v>930</v>
      </c>
      <c r="J569" s="11">
        <f t="shared" si="168"/>
        <v>930</v>
      </c>
      <c r="K569" s="5">
        <f t="shared" si="169"/>
        <v>9587.6288659793809</v>
      </c>
      <c r="L569" s="39">
        <v>1</v>
      </c>
      <c r="M569" s="37">
        <f t="shared" si="170"/>
        <v>1</v>
      </c>
      <c r="N569" s="38"/>
      <c r="O569" s="46"/>
      <c r="P569" s="42">
        <f t="shared" si="171"/>
        <v>930</v>
      </c>
      <c r="Q569" s="38"/>
      <c r="R569" s="38"/>
      <c r="S569" s="38"/>
      <c r="T569" s="38"/>
      <c r="U569" s="37">
        <f t="shared" si="172"/>
        <v>1</v>
      </c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43"/>
      <c r="AH569" s="44"/>
      <c r="AI569" s="45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  <c r="BS569" s="38"/>
      <c r="BT569" s="38"/>
      <c r="BU569" s="38"/>
      <c r="BV569" s="38"/>
      <c r="BW569" s="38"/>
      <c r="BX569" s="38"/>
      <c r="BY569" s="38"/>
      <c r="BZ569" s="38"/>
      <c r="CA569" s="38"/>
      <c r="CB569" s="38"/>
      <c r="CC569" s="38"/>
      <c r="CD569" s="38"/>
      <c r="CE569" s="38"/>
      <c r="CF569" s="38"/>
      <c r="CG569" s="38"/>
      <c r="CH569" s="38"/>
    </row>
    <row r="570" spans="1:86">
      <c r="A570" s="33">
        <v>45933</v>
      </c>
      <c r="B570" s="1" t="s">
        <v>821</v>
      </c>
      <c r="C570" s="1" t="s">
        <v>821</v>
      </c>
      <c r="D570" s="1"/>
      <c r="E570" s="38" t="s">
        <v>41</v>
      </c>
      <c r="F570" s="38">
        <v>100</v>
      </c>
      <c r="G570" s="38" t="s">
        <v>590</v>
      </c>
      <c r="H570" s="38">
        <v>97</v>
      </c>
      <c r="I570" s="38">
        <v>929</v>
      </c>
      <c r="J570" s="11">
        <f t="shared" si="168"/>
        <v>929</v>
      </c>
      <c r="K570" s="5">
        <f t="shared" si="169"/>
        <v>9577.3195876288664</v>
      </c>
      <c r="L570" s="39">
        <v>1</v>
      </c>
      <c r="M570" s="37">
        <f t="shared" si="170"/>
        <v>1</v>
      </c>
      <c r="N570" s="38"/>
      <c r="O570" s="46"/>
      <c r="P570" s="42">
        <f t="shared" si="171"/>
        <v>929</v>
      </c>
      <c r="Q570" s="38"/>
      <c r="R570" s="38"/>
      <c r="S570" s="38"/>
      <c r="T570" s="38"/>
      <c r="U570" s="37">
        <f t="shared" si="172"/>
        <v>1</v>
      </c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43"/>
      <c r="AH570" s="44"/>
      <c r="AI570" s="45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  <c r="BS570" s="38"/>
      <c r="BT570" s="38"/>
      <c r="BU570" s="38"/>
      <c r="BV570" s="38"/>
      <c r="BW570" s="38"/>
      <c r="BX570" s="38"/>
      <c r="BY570" s="38"/>
      <c r="BZ570" s="38"/>
      <c r="CA570" s="38"/>
      <c r="CB570" s="38"/>
      <c r="CC570" s="38"/>
      <c r="CD570" s="38"/>
      <c r="CE570" s="38"/>
      <c r="CF570" s="38"/>
      <c r="CG570" s="38"/>
      <c r="CH570" s="38"/>
    </row>
    <row r="571" spans="1:86">
      <c r="A571" s="33">
        <v>45933</v>
      </c>
      <c r="B571" s="1" t="s">
        <v>821</v>
      </c>
      <c r="C571" s="1" t="s">
        <v>821</v>
      </c>
      <c r="D571" s="1"/>
      <c r="E571" s="38" t="s">
        <v>41</v>
      </c>
      <c r="F571" s="38">
        <v>100</v>
      </c>
      <c r="G571" s="38" t="s">
        <v>590</v>
      </c>
      <c r="H571" s="38">
        <v>97</v>
      </c>
      <c r="I571" s="38">
        <v>926</v>
      </c>
      <c r="J571" s="11">
        <f t="shared" si="168"/>
        <v>926</v>
      </c>
      <c r="K571" s="5">
        <f t="shared" si="169"/>
        <v>9546.3917525773195</v>
      </c>
      <c r="L571" s="39">
        <v>1</v>
      </c>
      <c r="M571" s="37">
        <f t="shared" si="170"/>
        <v>1</v>
      </c>
      <c r="N571" s="38"/>
      <c r="O571" s="46"/>
      <c r="P571" s="42">
        <f t="shared" si="171"/>
        <v>926</v>
      </c>
      <c r="Q571" s="38"/>
      <c r="R571" s="38"/>
      <c r="S571" s="38"/>
      <c r="T571" s="38"/>
      <c r="U571" s="37">
        <f t="shared" si="172"/>
        <v>1</v>
      </c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43"/>
      <c r="AH571" s="44"/>
      <c r="AI571" s="45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  <c r="BS571" s="38"/>
      <c r="BT571" s="38"/>
      <c r="BU571" s="38"/>
      <c r="BV571" s="38"/>
      <c r="BW571" s="38"/>
      <c r="BX571" s="38"/>
      <c r="BY571" s="38"/>
      <c r="BZ571" s="38"/>
      <c r="CA571" s="38"/>
      <c r="CB571" s="38"/>
      <c r="CC571" s="38"/>
      <c r="CD571" s="38"/>
      <c r="CE571" s="38"/>
      <c r="CF571" s="38"/>
      <c r="CG571" s="38"/>
      <c r="CH571" s="38"/>
    </row>
    <row r="572" spans="1:86">
      <c r="A572" s="33">
        <v>45933</v>
      </c>
      <c r="B572" s="1" t="s">
        <v>821</v>
      </c>
      <c r="C572" s="1" t="s">
        <v>821</v>
      </c>
      <c r="D572" s="1"/>
      <c r="E572" s="38" t="s">
        <v>41</v>
      </c>
      <c r="F572" s="38">
        <v>100</v>
      </c>
      <c r="G572" s="38" t="s">
        <v>590</v>
      </c>
      <c r="H572" s="38">
        <v>97</v>
      </c>
      <c r="I572" s="38">
        <v>927</v>
      </c>
      <c r="J572" s="11">
        <f t="shared" si="168"/>
        <v>2781</v>
      </c>
      <c r="K572" s="5">
        <f t="shared" si="169"/>
        <v>28670.103092783505</v>
      </c>
      <c r="L572" s="39">
        <v>3</v>
      </c>
      <c r="M572" s="37">
        <f t="shared" si="170"/>
        <v>3</v>
      </c>
      <c r="N572" s="38"/>
      <c r="O572" s="46"/>
      <c r="P572" s="42">
        <f t="shared" si="171"/>
        <v>2781</v>
      </c>
      <c r="Q572" s="38"/>
      <c r="R572" s="38"/>
      <c r="S572" s="38"/>
      <c r="T572" s="38"/>
      <c r="U572" s="37">
        <f t="shared" si="172"/>
        <v>3</v>
      </c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43"/>
      <c r="AH572" s="44"/>
      <c r="AI572" s="45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  <c r="BS572" s="38"/>
      <c r="BT572" s="38"/>
      <c r="BU572" s="38"/>
      <c r="BV572" s="38"/>
      <c r="BW572" s="38"/>
      <c r="BX572" s="38"/>
      <c r="BY572" s="38"/>
      <c r="BZ572" s="38"/>
      <c r="CA572" s="38"/>
      <c r="CB572" s="38"/>
      <c r="CC572" s="38"/>
      <c r="CD572" s="38"/>
      <c r="CE572" s="38"/>
      <c r="CF572" s="38"/>
      <c r="CG572" s="38"/>
      <c r="CH572" s="38"/>
    </row>
    <row r="573" spans="1:86" ht="28.8">
      <c r="A573" s="33">
        <v>45934</v>
      </c>
      <c r="B573" s="1"/>
      <c r="C573" s="1"/>
      <c r="D573" s="1"/>
      <c r="E573" s="38" t="s">
        <v>816</v>
      </c>
      <c r="F573" s="38">
        <v>250</v>
      </c>
      <c r="G573" s="38" t="s">
        <v>432</v>
      </c>
      <c r="H573" s="38">
        <v>70</v>
      </c>
      <c r="I573" s="38">
        <v>639</v>
      </c>
      <c r="J573" s="11">
        <f t="shared" si="168"/>
        <v>1917</v>
      </c>
      <c r="K573" s="5">
        <f t="shared" si="169"/>
        <v>10954.285714285714</v>
      </c>
      <c r="L573" s="39">
        <v>27</v>
      </c>
      <c r="M573" s="37">
        <f t="shared" si="170"/>
        <v>3</v>
      </c>
      <c r="N573" s="38"/>
      <c r="O573" s="46"/>
      <c r="P573" s="42"/>
      <c r="Q573" s="38"/>
      <c r="R573" s="38"/>
      <c r="S573" s="38"/>
      <c r="T573" s="38"/>
      <c r="U573" s="37">
        <f t="shared" si="172"/>
        <v>3</v>
      </c>
      <c r="V573" s="38"/>
      <c r="W573" s="38"/>
      <c r="X573" s="38"/>
      <c r="Y573" s="38"/>
      <c r="Z573" s="38"/>
      <c r="AA573" s="38"/>
      <c r="AB573" s="38"/>
      <c r="AC573" s="38"/>
      <c r="AD573" s="38">
        <v>8</v>
      </c>
      <c r="AE573" s="38"/>
      <c r="AF573" s="38"/>
      <c r="AG573" s="43"/>
      <c r="AH573" s="44"/>
      <c r="AI573" s="45"/>
      <c r="AJ573" s="38"/>
      <c r="AK573" s="38"/>
      <c r="AL573" s="38"/>
      <c r="AM573" s="38"/>
      <c r="AN573" s="38"/>
      <c r="AO573" s="38"/>
      <c r="AP573" s="38"/>
      <c r="AQ573" s="38">
        <v>9</v>
      </c>
      <c r="AR573" s="38"/>
      <c r="AS573" s="38"/>
      <c r="AT573" s="38"/>
      <c r="AU573" s="38"/>
      <c r="AV573" s="38"/>
      <c r="AW573" s="38"/>
      <c r="AX573" s="38"/>
      <c r="AY573" s="38">
        <v>7</v>
      </c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  <c r="BS573" s="38"/>
      <c r="BT573" s="38"/>
      <c r="BU573" s="38"/>
      <c r="BV573" s="38"/>
      <c r="BW573" s="38"/>
      <c r="BX573" s="38"/>
      <c r="BY573" s="38"/>
      <c r="BZ573" s="38"/>
      <c r="CA573" s="38"/>
      <c r="CB573" s="38"/>
      <c r="CC573" s="38"/>
      <c r="CD573" s="38"/>
      <c r="CE573" s="38"/>
      <c r="CF573" s="38"/>
      <c r="CG573" s="38"/>
      <c r="CH573" s="38"/>
    </row>
    <row r="574" spans="1:86" ht="28.8">
      <c r="A574" s="33">
        <v>45934</v>
      </c>
      <c r="B574" s="1"/>
      <c r="C574" s="1"/>
      <c r="D574" s="1"/>
      <c r="E574" s="38" t="s">
        <v>816</v>
      </c>
      <c r="F574" s="38">
        <v>250</v>
      </c>
      <c r="G574" s="38" t="s">
        <v>432</v>
      </c>
      <c r="H574" s="38">
        <v>72</v>
      </c>
      <c r="I574" s="38">
        <v>657</v>
      </c>
      <c r="J574" s="11">
        <f t="shared" si="168"/>
        <v>2628</v>
      </c>
      <c r="K574" s="5">
        <f t="shared" si="169"/>
        <v>14599.999999999998</v>
      </c>
      <c r="L574" s="39">
        <v>6</v>
      </c>
      <c r="M574" s="37">
        <f t="shared" si="170"/>
        <v>4</v>
      </c>
      <c r="N574" s="38"/>
      <c r="O574" s="46"/>
      <c r="P574" s="42"/>
      <c r="Q574" s="38"/>
      <c r="R574" s="38"/>
      <c r="S574" s="38"/>
      <c r="T574" s="38"/>
      <c r="U574" s="37">
        <f t="shared" si="172"/>
        <v>4</v>
      </c>
      <c r="V574" s="38"/>
      <c r="W574" s="38"/>
      <c r="X574" s="38"/>
      <c r="Y574" s="38"/>
      <c r="Z574" s="38"/>
      <c r="AA574" s="38"/>
      <c r="AB574" s="38"/>
      <c r="AC574" s="38"/>
      <c r="AD574" s="38">
        <v>2</v>
      </c>
      <c r="AE574" s="38"/>
      <c r="AF574" s="38"/>
      <c r="AG574" s="43"/>
      <c r="AH574" s="44"/>
      <c r="AI574" s="45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  <c r="BS574" s="38"/>
      <c r="BT574" s="38"/>
      <c r="BU574" s="38"/>
      <c r="BV574" s="38"/>
      <c r="BW574" s="38"/>
      <c r="BX574" s="38"/>
      <c r="BY574" s="38"/>
      <c r="BZ574" s="38"/>
      <c r="CA574" s="38"/>
      <c r="CB574" s="38"/>
      <c r="CC574" s="38"/>
      <c r="CD574" s="38"/>
      <c r="CE574" s="38"/>
      <c r="CF574" s="38"/>
      <c r="CG574" s="38"/>
      <c r="CH574" s="38"/>
    </row>
    <row r="575" spans="1:86">
      <c r="A575" s="33">
        <v>45937</v>
      </c>
      <c r="B575" s="1"/>
      <c r="C575" s="1"/>
      <c r="D575" s="1"/>
      <c r="E575" s="38" t="s">
        <v>29</v>
      </c>
      <c r="F575" s="38">
        <v>160</v>
      </c>
      <c r="G575" s="38" t="s">
        <v>433</v>
      </c>
      <c r="H575" s="38">
        <v>119</v>
      </c>
      <c r="I575" s="38">
        <v>952</v>
      </c>
      <c r="J575" s="11">
        <f t="shared" ref="J575:J580" si="173">IFERROR(IF(AND(V575=3,U575&gt;0),I575,I575*U575),"Verify")</f>
        <v>10472</v>
      </c>
      <c r="K575" s="5">
        <f t="shared" ref="K575:K580" si="174">+J575/(F575*H575*10^-5)</f>
        <v>54999.999999999993</v>
      </c>
      <c r="L575" s="39">
        <v>14</v>
      </c>
      <c r="M575" s="37">
        <f t="shared" ref="M575:M580" si="175">+L575-X575-Z575-AD575-AB575-AF575-AH575-AJ575-AL575-AO575-AQ575-AS575-AU575-AW575-AY575-BA575-BC575-BE575-BG575-BI575-BK575-BM575-BO575-BQ575-BS575-BU575-BW575-BY575-CA575-CC575-CE575-CG575</f>
        <v>11</v>
      </c>
      <c r="N575" s="38"/>
      <c r="O575" s="46"/>
      <c r="P575" s="42"/>
      <c r="Q575" s="38"/>
      <c r="R575" s="38"/>
      <c r="S575" s="38"/>
      <c r="T575" s="38"/>
      <c r="U575" s="37">
        <f t="shared" ref="U575:U580" si="176">+L575-X575-Z575-AD575-AB575-AF575-AH575-AJ575-AL575-AO575-AQ575-AS575-AU575-AW575-AY575-BA575-BC575-BE575-BG575-BI575-BK575-BM575-BO575-BQ575-BS575-BU575-BW575-BY575-CA575-CC575-CE575-CG575</f>
        <v>11</v>
      </c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43"/>
      <c r="AH575" s="44"/>
      <c r="AI575" s="45"/>
      <c r="AJ575" s="38"/>
      <c r="AK575" s="38"/>
      <c r="AL575" s="38">
        <v>3</v>
      </c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  <c r="BS575" s="38"/>
      <c r="BT575" s="38"/>
      <c r="BU575" s="38"/>
      <c r="BV575" s="38"/>
      <c r="BW575" s="38"/>
      <c r="BX575" s="38"/>
      <c r="BY575" s="38"/>
      <c r="BZ575" s="38"/>
      <c r="CA575" s="38"/>
      <c r="CB575" s="38"/>
      <c r="CC575" s="38"/>
      <c r="CD575" s="38"/>
      <c r="CE575" s="38"/>
      <c r="CF575" s="38"/>
      <c r="CG575" s="38"/>
      <c r="CH575" s="38"/>
    </row>
    <row r="576" spans="1:86">
      <c r="A576" s="33">
        <v>45937</v>
      </c>
      <c r="B576" s="1"/>
      <c r="C576" s="1"/>
      <c r="D576" s="1"/>
      <c r="E576" s="38" t="s">
        <v>29</v>
      </c>
      <c r="F576" s="38">
        <v>160</v>
      </c>
      <c r="G576" s="38" t="s">
        <v>433</v>
      </c>
      <c r="H576" s="38">
        <v>72</v>
      </c>
      <c r="I576" s="38">
        <v>576</v>
      </c>
      <c r="J576" s="11">
        <f t="shared" si="173"/>
        <v>1728</v>
      </c>
      <c r="K576" s="5">
        <f t="shared" si="174"/>
        <v>14999.999999999998</v>
      </c>
      <c r="L576" s="39">
        <v>20</v>
      </c>
      <c r="M576" s="37">
        <f t="shared" si="175"/>
        <v>3</v>
      </c>
      <c r="N576" s="38"/>
      <c r="O576" s="46"/>
      <c r="P576" s="42"/>
      <c r="Q576" s="38"/>
      <c r="R576" s="38"/>
      <c r="S576" s="38"/>
      <c r="T576" s="38"/>
      <c r="U576" s="37">
        <f t="shared" si="176"/>
        <v>3</v>
      </c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43"/>
      <c r="AH576" s="44"/>
      <c r="AI576" s="45"/>
      <c r="AJ576" s="38">
        <v>5</v>
      </c>
      <c r="AK576" s="38"/>
      <c r="AL576" s="38">
        <v>12</v>
      </c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  <c r="BS576" s="38"/>
      <c r="BT576" s="38"/>
      <c r="BU576" s="38"/>
      <c r="BV576" s="38"/>
      <c r="BW576" s="38"/>
      <c r="BX576" s="38"/>
      <c r="BY576" s="38"/>
      <c r="BZ576" s="38"/>
      <c r="CA576" s="38"/>
      <c r="CB576" s="38"/>
      <c r="CC576" s="38"/>
      <c r="CD576" s="38"/>
      <c r="CE576" s="38"/>
      <c r="CF576" s="38"/>
      <c r="CG576" s="38"/>
      <c r="CH576" s="38"/>
    </row>
    <row r="577" spans="1:86">
      <c r="A577" s="33">
        <v>45938</v>
      </c>
      <c r="B577" s="1" t="s">
        <v>810</v>
      </c>
      <c r="C577" s="1" t="s">
        <v>810</v>
      </c>
      <c r="D577" s="1"/>
      <c r="E577" s="38" t="s">
        <v>50</v>
      </c>
      <c r="F577" s="38">
        <v>110</v>
      </c>
      <c r="G577" s="38" t="s">
        <v>590</v>
      </c>
      <c r="H577" s="38">
        <v>125</v>
      </c>
      <c r="I577" s="38">
        <v>1289</v>
      </c>
      <c r="J577" s="11">
        <f t="shared" si="173"/>
        <v>1289</v>
      </c>
      <c r="K577" s="5">
        <f t="shared" si="174"/>
        <v>9374.545454545454</v>
      </c>
      <c r="L577" s="39">
        <v>1</v>
      </c>
      <c r="M577" s="37">
        <f t="shared" si="175"/>
        <v>1</v>
      </c>
      <c r="N577" s="38"/>
      <c r="O577" s="46"/>
      <c r="P577" s="42"/>
      <c r="Q577" s="38"/>
      <c r="R577" s="38"/>
      <c r="S577" s="38"/>
      <c r="T577" s="38"/>
      <c r="U577" s="37">
        <f t="shared" si="176"/>
        <v>1</v>
      </c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43"/>
      <c r="AH577" s="44"/>
      <c r="AI577" s="45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  <c r="BW577" s="38"/>
      <c r="BX577" s="38"/>
      <c r="BY577" s="38"/>
      <c r="BZ577" s="38"/>
      <c r="CA577" s="38"/>
      <c r="CB577" s="38"/>
      <c r="CC577" s="38"/>
      <c r="CD577" s="38"/>
      <c r="CE577" s="38"/>
      <c r="CF577" s="38"/>
      <c r="CG577" s="38"/>
      <c r="CH577" s="38"/>
    </row>
    <row r="578" spans="1:86">
      <c r="A578" s="33">
        <v>45938</v>
      </c>
      <c r="B578" s="1" t="s">
        <v>810</v>
      </c>
      <c r="C578" s="1" t="s">
        <v>810</v>
      </c>
      <c r="D578" s="1"/>
      <c r="E578" s="38" t="s">
        <v>50</v>
      </c>
      <c r="F578" s="38">
        <v>110</v>
      </c>
      <c r="G578" s="38" t="s">
        <v>590</v>
      </c>
      <c r="H578" s="38">
        <v>125</v>
      </c>
      <c r="I578" s="38">
        <v>1291</v>
      </c>
      <c r="J578" s="11">
        <f t="shared" si="173"/>
        <v>1291</v>
      </c>
      <c r="K578" s="5">
        <f t="shared" si="174"/>
        <v>9389.0909090909081</v>
      </c>
      <c r="L578" s="39">
        <v>1</v>
      </c>
      <c r="M578" s="37">
        <f t="shared" si="175"/>
        <v>1</v>
      </c>
      <c r="N578" s="38"/>
      <c r="O578" s="46"/>
      <c r="P578" s="42"/>
      <c r="Q578" s="38"/>
      <c r="R578" s="38"/>
      <c r="S578" s="38"/>
      <c r="T578" s="38"/>
      <c r="U578" s="37">
        <f t="shared" si="176"/>
        <v>1</v>
      </c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43"/>
      <c r="AH578" s="44"/>
      <c r="AI578" s="45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  <c r="CH578" s="38"/>
    </row>
    <row r="579" spans="1:86">
      <c r="A579" s="33">
        <v>45938</v>
      </c>
      <c r="B579" s="1" t="s">
        <v>821</v>
      </c>
      <c r="C579" s="1" t="s">
        <v>821</v>
      </c>
      <c r="D579" s="1"/>
      <c r="E579" s="38" t="s">
        <v>41</v>
      </c>
      <c r="F579" s="38">
        <v>100</v>
      </c>
      <c r="G579" s="38" t="s">
        <v>590</v>
      </c>
      <c r="H579" s="38">
        <v>97</v>
      </c>
      <c r="I579" s="38">
        <v>921</v>
      </c>
      <c r="J579" s="11">
        <f t="shared" si="173"/>
        <v>921</v>
      </c>
      <c r="K579" s="5">
        <f t="shared" si="174"/>
        <v>9494.8453608247419</v>
      </c>
      <c r="L579" s="39">
        <v>1</v>
      </c>
      <c r="M579" s="37">
        <f t="shared" si="175"/>
        <v>1</v>
      </c>
      <c r="N579" s="38"/>
      <c r="O579" s="46"/>
      <c r="P579" s="42">
        <f t="shared" ref="P579:P586" si="177">+J579-O579</f>
        <v>921</v>
      </c>
      <c r="Q579" s="38"/>
      <c r="R579" s="38"/>
      <c r="S579" s="38"/>
      <c r="T579" s="38"/>
      <c r="U579" s="37">
        <f t="shared" si="176"/>
        <v>1</v>
      </c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43"/>
      <c r="AH579" s="44"/>
      <c r="AI579" s="45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  <c r="BS579" s="38"/>
      <c r="BT579" s="38"/>
      <c r="BU579" s="38"/>
      <c r="BV579" s="38"/>
      <c r="BW579" s="38"/>
      <c r="BX579" s="38"/>
      <c r="BY579" s="38"/>
      <c r="BZ579" s="38"/>
      <c r="CA579" s="38"/>
      <c r="CB579" s="38"/>
      <c r="CC579" s="38"/>
      <c r="CD579" s="38"/>
      <c r="CE579" s="38"/>
      <c r="CF579" s="38"/>
      <c r="CG579" s="38"/>
      <c r="CH579" s="38"/>
    </row>
    <row r="580" spans="1:86">
      <c r="A580" s="33">
        <v>45938</v>
      </c>
      <c r="B580" s="1" t="s">
        <v>821</v>
      </c>
      <c r="C580" s="1" t="s">
        <v>821</v>
      </c>
      <c r="D580" s="1"/>
      <c r="E580" s="38" t="s">
        <v>41</v>
      </c>
      <c r="F580" s="38">
        <v>100</v>
      </c>
      <c r="G580" s="38" t="s">
        <v>590</v>
      </c>
      <c r="H580" s="38">
        <v>97</v>
      </c>
      <c r="I580" s="38">
        <v>920</v>
      </c>
      <c r="J580" s="11">
        <f t="shared" si="173"/>
        <v>920</v>
      </c>
      <c r="K580" s="5">
        <f t="shared" si="174"/>
        <v>9484.5360824742256</v>
      </c>
      <c r="L580" s="39">
        <v>1</v>
      </c>
      <c r="M580" s="37">
        <f t="shared" si="175"/>
        <v>1</v>
      </c>
      <c r="N580" s="38"/>
      <c r="O580" s="46"/>
      <c r="P580" s="42">
        <f t="shared" si="177"/>
        <v>920</v>
      </c>
      <c r="Q580" s="38"/>
      <c r="R580" s="38"/>
      <c r="S580" s="38"/>
      <c r="T580" s="38"/>
      <c r="U580" s="37">
        <f t="shared" si="176"/>
        <v>1</v>
      </c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43"/>
      <c r="AH580" s="44"/>
      <c r="AI580" s="45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  <c r="BS580" s="38"/>
      <c r="BT580" s="38"/>
      <c r="BU580" s="38"/>
      <c r="BV580" s="38"/>
      <c r="BW580" s="38"/>
      <c r="BX580" s="38"/>
      <c r="BY580" s="38"/>
      <c r="BZ580" s="38"/>
      <c r="CA580" s="38"/>
      <c r="CB580" s="38"/>
      <c r="CC580" s="38"/>
      <c r="CD580" s="38"/>
      <c r="CE580" s="38"/>
      <c r="CF580" s="38"/>
      <c r="CG580" s="38"/>
      <c r="CH580" s="38"/>
    </row>
    <row r="581" spans="1:86">
      <c r="A581" s="33">
        <v>45938</v>
      </c>
      <c r="B581" s="1" t="s">
        <v>821</v>
      </c>
      <c r="C581" s="1" t="s">
        <v>821</v>
      </c>
      <c r="D581" s="1"/>
      <c r="E581" s="38" t="s">
        <v>41</v>
      </c>
      <c r="F581" s="38">
        <v>100</v>
      </c>
      <c r="G581" s="38" t="s">
        <v>590</v>
      </c>
      <c r="H581" s="38">
        <v>97</v>
      </c>
      <c r="I581" s="38">
        <v>938</v>
      </c>
      <c r="J581" s="11">
        <f t="shared" ref="J581:J602" si="178">IFERROR(IF(AND(V581=3,U581&gt;0),I581,I581*U581),"Verify")</f>
        <v>938</v>
      </c>
      <c r="K581" s="5">
        <f t="shared" ref="K581:K602" si="179">+J581/(F581*H581*10^-5)</f>
        <v>9670.1030927835054</v>
      </c>
      <c r="L581" s="39">
        <v>1</v>
      </c>
      <c r="M581" s="37">
        <f t="shared" ref="M581:M626" si="180">+L581-X581-Z581-AD581-AB581-AF581-AH581-AJ581-AL581-AO581-AQ581-AS581-AU581-AW581-AY581-BA581-BC581-BE581-BG581-BI581-BK581-BM581-BO581-BQ581-BS581-BU581-BW581-BY581-CA581-CC581-CE581-CG581</f>
        <v>1</v>
      </c>
      <c r="N581" s="38"/>
      <c r="O581" s="46"/>
      <c r="P581" s="42">
        <f t="shared" si="177"/>
        <v>938</v>
      </c>
      <c r="Q581" s="38"/>
      <c r="R581" s="38"/>
      <c r="S581" s="38"/>
      <c r="T581" s="38"/>
      <c r="U581" s="37">
        <f t="shared" ref="U581:U626" si="181">+L581-X581-Z581-AD581-AB581-AF581-AH581-AJ581-AL581-AO581-AQ581-AS581-AU581-AW581-AY581-BA581-BC581-BE581-BG581-BI581-BK581-BM581-BO581-BQ581-BS581-BU581-BW581-BY581-CA581-CC581-CE581-CG581</f>
        <v>1</v>
      </c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43"/>
      <c r="AH581" s="44"/>
      <c r="AI581" s="45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  <c r="BS581" s="38"/>
      <c r="BT581" s="38"/>
      <c r="BU581" s="38"/>
      <c r="BV581" s="38"/>
      <c r="BW581" s="38"/>
      <c r="BX581" s="38"/>
      <c r="BY581" s="38"/>
      <c r="BZ581" s="38"/>
      <c r="CA581" s="38"/>
      <c r="CB581" s="38"/>
      <c r="CC581" s="38"/>
      <c r="CD581" s="38"/>
      <c r="CE581" s="38"/>
      <c r="CF581" s="38"/>
      <c r="CG581" s="38"/>
      <c r="CH581" s="38"/>
    </row>
    <row r="582" spans="1:86">
      <c r="A582" s="33">
        <v>45938</v>
      </c>
      <c r="B582" s="1" t="s">
        <v>821</v>
      </c>
      <c r="C582" s="1" t="s">
        <v>821</v>
      </c>
      <c r="D582" s="1"/>
      <c r="E582" s="38" t="s">
        <v>41</v>
      </c>
      <c r="F582" s="38">
        <v>100</v>
      </c>
      <c r="G582" s="38" t="s">
        <v>590</v>
      </c>
      <c r="H582" s="38">
        <v>97</v>
      </c>
      <c r="I582" s="38">
        <v>936</v>
      </c>
      <c r="J582" s="11">
        <f t="shared" si="178"/>
        <v>936</v>
      </c>
      <c r="K582" s="5">
        <f t="shared" si="179"/>
        <v>9649.4845360824747</v>
      </c>
      <c r="L582" s="39">
        <v>1</v>
      </c>
      <c r="M582" s="37">
        <f t="shared" si="180"/>
        <v>1</v>
      </c>
      <c r="N582" s="38"/>
      <c r="O582" s="46"/>
      <c r="P582" s="42">
        <f t="shared" si="177"/>
        <v>936</v>
      </c>
      <c r="Q582" s="38"/>
      <c r="R582" s="38"/>
      <c r="S582" s="38"/>
      <c r="T582" s="38"/>
      <c r="U582" s="37">
        <f t="shared" si="181"/>
        <v>1</v>
      </c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43"/>
      <c r="AH582" s="44"/>
      <c r="AI582" s="45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  <c r="BS582" s="38"/>
      <c r="BT582" s="38"/>
      <c r="BU582" s="38"/>
      <c r="BV582" s="38"/>
      <c r="BW582" s="38"/>
      <c r="BX582" s="38"/>
      <c r="BY582" s="38"/>
      <c r="BZ582" s="38"/>
      <c r="CA582" s="38"/>
      <c r="CB582" s="38"/>
      <c r="CC582" s="38"/>
      <c r="CD582" s="38"/>
      <c r="CE582" s="38"/>
      <c r="CF582" s="38"/>
      <c r="CG582" s="38"/>
      <c r="CH582" s="38"/>
    </row>
    <row r="583" spans="1:86">
      <c r="A583" s="33">
        <v>45938</v>
      </c>
      <c r="B583" s="1" t="s">
        <v>821</v>
      </c>
      <c r="C583" s="1" t="s">
        <v>821</v>
      </c>
      <c r="D583" s="1"/>
      <c r="E583" s="38" t="s">
        <v>41</v>
      </c>
      <c r="F583" s="38">
        <v>100</v>
      </c>
      <c r="G583" s="38" t="s">
        <v>590</v>
      </c>
      <c r="H583" s="38">
        <v>97</v>
      </c>
      <c r="I583" s="38">
        <v>929</v>
      </c>
      <c r="J583" s="11">
        <f t="shared" si="178"/>
        <v>929</v>
      </c>
      <c r="K583" s="5">
        <f t="shared" si="179"/>
        <v>9577.3195876288664</v>
      </c>
      <c r="L583" s="39">
        <v>1</v>
      </c>
      <c r="M583" s="37">
        <f t="shared" si="180"/>
        <v>1</v>
      </c>
      <c r="N583" s="38"/>
      <c r="O583" s="46"/>
      <c r="P583" s="42">
        <f t="shared" si="177"/>
        <v>929</v>
      </c>
      <c r="Q583" s="38"/>
      <c r="R583" s="38"/>
      <c r="S583" s="38"/>
      <c r="T583" s="38"/>
      <c r="U583" s="37">
        <f t="shared" si="181"/>
        <v>1</v>
      </c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43"/>
      <c r="AH583" s="44"/>
      <c r="AI583" s="45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  <c r="BS583" s="38"/>
      <c r="BT583" s="38"/>
      <c r="BU583" s="38"/>
      <c r="BV583" s="38"/>
      <c r="BW583" s="38"/>
      <c r="BX583" s="38"/>
      <c r="BY583" s="38"/>
      <c r="BZ583" s="38"/>
      <c r="CA583" s="38"/>
      <c r="CB583" s="38"/>
      <c r="CC583" s="38"/>
      <c r="CD583" s="38"/>
      <c r="CE583" s="38"/>
      <c r="CF583" s="38"/>
      <c r="CG583" s="38"/>
      <c r="CH583" s="38"/>
    </row>
    <row r="584" spans="1:86">
      <c r="A584" s="33">
        <v>45938</v>
      </c>
      <c r="B584" s="1" t="s">
        <v>821</v>
      </c>
      <c r="C584" s="1" t="s">
        <v>821</v>
      </c>
      <c r="D584" s="1"/>
      <c r="E584" s="38" t="s">
        <v>41</v>
      </c>
      <c r="F584" s="38">
        <v>100</v>
      </c>
      <c r="G584" s="38" t="s">
        <v>590</v>
      </c>
      <c r="H584" s="38">
        <v>97</v>
      </c>
      <c r="I584" s="38">
        <v>932</v>
      </c>
      <c r="J584" s="11">
        <f t="shared" si="178"/>
        <v>932</v>
      </c>
      <c r="K584" s="5">
        <f t="shared" si="179"/>
        <v>9608.2474226804115</v>
      </c>
      <c r="L584" s="39">
        <v>1</v>
      </c>
      <c r="M584" s="37">
        <f t="shared" si="180"/>
        <v>1</v>
      </c>
      <c r="N584" s="38"/>
      <c r="O584" s="46"/>
      <c r="P584" s="42">
        <f t="shared" si="177"/>
        <v>932</v>
      </c>
      <c r="Q584" s="38"/>
      <c r="R584" s="38"/>
      <c r="S584" s="38"/>
      <c r="T584" s="38"/>
      <c r="U584" s="37">
        <f t="shared" si="181"/>
        <v>1</v>
      </c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43"/>
      <c r="AH584" s="44"/>
      <c r="AI584" s="45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  <c r="BS584" s="38"/>
      <c r="BT584" s="38"/>
      <c r="BU584" s="38"/>
      <c r="BV584" s="38"/>
      <c r="BW584" s="38"/>
      <c r="BX584" s="38"/>
      <c r="BY584" s="38"/>
      <c r="BZ584" s="38"/>
      <c r="CA584" s="38"/>
      <c r="CB584" s="38"/>
      <c r="CC584" s="38"/>
      <c r="CD584" s="38"/>
      <c r="CE584" s="38"/>
      <c r="CF584" s="38"/>
      <c r="CG584" s="38"/>
      <c r="CH584" s="38"/>
    </row>
    <row r="585" spans="1:86">
      <c r="A585" s="33">
        <v>45938</v>
      </c>
      <c r="B585" s="1" t="s">
        <v>821</v>
      </c>
      <c r="C585" s="1" t="s">
        <v>821</v>
      </c>
      <c r="D585" s="1"/>
      <c r="E585" s="38" t="s">
        <v>41</v>
      </c>
      <c r="F585" s="38">
        <v>100</v>
      </c>
      <c r="G585" s="38" t="s">
        <v>590</v>
      </c>
      <c r="H585" s="38">
        <v>97</v>
      </c>
      <c r="I585" s="38">
        <v>931</v>
      </c>
      <c r="J585" s="11">
        <f t="shared" si="178"/>
        <v>931</v>
      </c>
      <c r="K585" s="5">
        <f t="shared" si="179"/>
        <v>9597.9381443298971</v>
      </c>
      <c r="L585" s="39">
        <v>1</v>
      </c>
      <c r="M585" s="37">
        <f t="shared" si="180"/>
        <v>1</v>
      </c>
      <c r="N585" s="38"/>
      <c r="O585" s="46"/>
      <c r="P585" s="42">
        <f t="shared" si="177"/>
        <v>931</v>
      </c>
      <c r="Q585" s="38"/>
      <c r="R585" s="38"/>
      <c r="S585" s="38"/>
      <c r="T585" s="38"/>
      <c r="U585" s="37">
        <f t="shared" si="181"/>
        <v>1</v>
      </c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43"/>
      <c r="AH585" s="44"/>
      <c r="AI585" s="45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  <c r="BS585" s="38"/>
      <c r="BT585" s="38"/>
      <c r="BU585" s="38"/>
      <c r="BV585" s="38"/>
      <c r="BW585" s="38"/>
      <c r="BX585" s="38"/>
      <c r="BY585" s="38"/>
      <c r="BZ585" s="38"/>
      <c r="CA585" s="38"/>
      <c r="CB585" s="38"/>
      <c r="CC585" s="38"/>
      <c r="CD585" s="38"/>
      <c r="CE585" s="38"/>
      <c r="CF585" s="38"/>
      <c r="CG585" s="38"/>
      <c r="CH585" s="38"/>
    </row>
    <row r="586" spans="1:86">
      <c r="A586" s="33">
        <v>45938</v>
      </c>
      <c r="B586" s="1" t="s">
        <v>821</v>
      </c>
      <c r="C586" s="1" t="s">
        <v>821</v>
      </c>
      <c r="D586" s="1"/>
      <c r="E586" s="38" t="s">
        <v>41</v>
      </c>
      <c r="F586" s="38">
        <v>100</v>
      </c>
      <c r="G586" s="38" t="s">
        <v>590</v>
      </c>
      <c r="H586" s="38">
        <v>97</v>
      </c>
      <c r="I586" s="38">
        <v>930</v>
      </c>
      <c r="J586" s="11">
        <f t="shared" si="178"/>
        <v>930</v>
      </c>
      <c r="K586" s="5">
        <f t="shared" si="179"/>
        <v>9587.6288659793809</v>
      </c>
      <c r="L586" s="39">
        <v>1</v>
      </c>
      <c r="M586" s="37">
        <f t="shared" si="180"/>
        <v>1</v>
      </c>
      <c r="N586" s="38"/>
      <c r="O586" s="46"/>
      <c r="P586" s="42">
        <f t="shared" si="177"/>
        <v>930</v>
      </c>
      <c r="Q586" s="38"/>
      <c r="R586" s="38"/>
      <c r="S586" s="38"/>
      <c r="T586" s="38"/>
      <c r="U586" s="37">
        <f t="shared" si="181"/>
        <v>1</v>
      </c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43"/>
      <c r="AH586" s="44"/>
      <c r="AI586" s="45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  <c r="BS586" s="38"/>
      <c r="BT586" s="38"/>
      <c r="BU586" s="38"/>
      <c r="BV586" s="38"/>
      <c r="BW586" s="38"/>
      <c r="BX586" s="38"/>
      <c r="BY586" s="38"/>
      <c r="BZ586" s="38"/>
      <c r="CA586" s="38"/>
      <c r="CB586" s="38"/>
      <c r="CC586" s="38"/>
      <c r="CD586" s="38"/>
      <c r="CE586" s="38"/>
      <c r="CF586" s="38"/>
      <c r="CG586" s="38"/>
      <c r="CH586" s="38"/>
    </row>
    <row r="587" spans="1:86">
      <c r="A587" s="33">
        <v>45938</v>
      </c>
      <c r="B587" s="1" t="s">
        <v>821</v>
      </c>
      <c r="C587" s="1" t="s">
        <v>821</v>
      </c>
      <c r="D587" s="1"/>
      <c r="E587" s="38" t="s">
        <v>41</v>
      </c>
      <c r="F587" s="38">
        <v>100</v>
      </c>
      <c r="G587" s="38" t="s">
        <v>590</v>
      </c>
      <c r="H587" s="38">
        <v>97</v>
      </c>
      <c r="I587" s="38">
        <v>924</v>
      </c>
      <c r="J587" s="11">
        <f t="shared" si="178"/>
        <v>924</v>
      </c>
      <c r="K587" s="5">
        <f t="shared" si="179"/>
        <v>9525.7731958762888</v>
      </c>
      <c r="L587" s="39">
        <v>1</v>
      </c>
      <c r="M587" s="37">
        <f t="shared" si="180"/>
        <v>1</v>
      </c>
      <c r="N587" s="38"/>
      <c r="O587" s="46"/>
      <c r="P587" s="42">
        <f t="shared" ref="P587:P601" si="182">+J587-O587</f>
        <v>924</v>
      </c>
      <c r="Q587" s="38"/>
      <c r="R587" s="38"/>
      <c r="S587" s="38"/>
      <c r="T587" s="38"/>
      <c r="U587" s="37">
        <f t="shared" si="181"/>
        <v>1</v>
      </c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43"/>
      <c r="AH587" s="44"/>
      <c r="AI587" s="45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  <c r="BW587" s="38"/>
      <c r="BX587" s="38"/>
      <c r="BY587" s="38"/>
      <c r="BZ587" s="38"/>
      <c r="CA587" s="38"/>
      <c r="CB587" s="38"/>
      <c r="CC587" s="38"/>
      <c r="CD587" s="38"/>
      <c r="CE587" s="38"/>
      <c r="CF587" s="38"/>
      <c r="CG587" s="38"/>
      <c r="CH587" s="38"/>
    </row>
    <row r="588" spans="1:86">
      <c r="A588" s="33">
        <v>45938</v>
      </c>
      <c r="B588" s="1" t="s">
        <v>821</v>
      </c>
      <c r="C588" s="1" t="s">
        <v>821</v>
      </c>
      <c r="D588" s="1"/>
      <c r="E588" s="38" t="s">
        <v>41</v>
      </c>
      <c r="F588" s="38">
        <v>100</v>
      </c>
      <c r="G588" s="38" t="s">
        <v>590</v>
      </c>
      <c r="H588" s="38">
        <v>97</v>
      </c>
      <c r="I588" s="38">
        <v>938</v>
      </c>
      <c r="J588" s="11">
        <f t="shared" si="178"/>
        <v>938</v>
      </c>
      <c r="K588" s="5">
        <f t="shared" si="179"/>
        <v>9670.1030927835054</v>
      </c>
      <c r="L588" s="39">
        <v>1</v>
      </c>
      <c r="M588" s="37">
        <f t="shared" si="180"/>
        <v>1</v>
      </c>
      <c r="N588" s="38"/>
      <c r="O588" s="46"/>
      <c r="P588" s="42">
        <f t="shared" si="182"/>
        <v>938</v>
      </c>
      <c r="Q588" s="38"/>
      <c r="R588" s="38"/>
      <c r="S588" s="38"/>
      <c r="T588" s="38"/>
      <c r="U588" s="37">
        <f t="shared" si="181"/>
        <v>1</v>
      </c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43"/>
      <c r="AH588" s="44"/>
      <c r="AI588" s="45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  <c r="BS588" s="38"/>
      <c r="BT588" s="38"/>
      <c r="BU588" s="38"/>
      <c r="BV588" s="38"/>
      <c r="BW588" s="38"/>
      <c r="BX588" s="38"/>
      <c r="BY588" s="38"/>
      <c r="BZ588" s="38"/>
      <c r="CA588" s="38"/>
      <c r="CB588" s="38"/>
      <c r="CC588" s="38"/>
      <c r="CD588" s="38"/>
      <c r="CE588" s="38"/>
      <c r="CF588" s="38"/>
      <c r="CG588" s="38"/>
      <c r="CH588" s="38"/>
    </row>
    <row r="589" spans="1:86">
      <c r="A589" s="33">
        <v>45938</v>
      </c>
      <c r="B589" s="1" t="s">
        <v>821</v>
      </c>
      <c r="C589" s="1" t="s">
        <v>821</v>
      </c>
      <c r="D589" s="1"/>
      <c r="E589" s="38" t="s">
        <v>41</v>
      </c>
      <c r="F589" s="38">
        <v>100</v>
      </c>
      <c r="G589" s="38" t="s">
        <v>590</v>
      </c>
      <c r="H589" s="38">
        <v>97</v>
      </c>
      <c r="I589" s="38">
        <v>935</v>
      </c>
      <c r="J589" s="11">
        <f t="shared" si="178"/>
        <v>935</v>
      </c>
      <c r="K589" s="5">
        <f t="shared" si="179"/>
        <v>9639.1752577319585</v>
      </c>
      <c r="L589" s="39">
        <v>1</v>
      </c>
      <c r="M589" s="37">
        <f t="shared" si="180"/>
        <v>1</v>
      </c>
      <c r="N589" s="38"/>
      <c r="O589" s="46"/>
      <c r="P589" s="42">
        <f t="shared" si="182"/>
        <v>935</v>
      </c>
      <c r="Q589" s="38"/>
      <c r="R589" s="38"/>
      <c r="S589" s="38"/>
      <c r="T589" s="38"/>
      <c r="U589" s="37">
        <f t="shared" si="181"/>
        <v>1</v>
      </c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43"/>
      <c r="AH589" s="44"/>
      <c r="AI589" s="45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  <c r="BW589" s="38"/>
      <c r="BX589" s="38"/>
      <c r="BY589" s="38"/>
      <c r="BZ589" s="38"/>
      <c r="CA589" s="38"/>
      <c r="CB589" s="38"/>
      <c r="CC589" s="38"/>
      <c r="CD589" s="38"/>
      <c r="CE589" s="38"/>
      <c r="CF589" s="38"/>
      <c r="CG589" s="38"/>
      <c r="CH589" s="38"/>
    </row>
    <row r="590" spans="1:86">
      <c r="A590" s="33">
        <v>45938</v>
      </c>
      <c r="B590" s="1" t="s">
        <v>821</v>
      </c>
      <c r="C590" s="1" t="s">
        <v>821</v>
      </c>
      <c r="D590" s="1"/>
      <c r="E590" s="38" t="s">
        <v>41</v>
      </c>
      <c r="F590" s="38">
        <v>100</v>
      </c>
      <c r="G590" s="38" t="s">
        <v>590</v>
      </c>
      <c r="H590" s="38">
        <v>97</v>
      </c>
      <c r="I590" s="38">
        <v>940</v>
      </c>
      <c r="J590" s="11">
        <f t="shared" si="178"/>
        <v>940</v>
      </c>
      <c r="K590" s="5">
        <f t="shared" si="179"/>
        <v>9690.7216494845361</v>
      </c>
      <c r="L590" s="39">
        <v>1</v>
      </c>
      <c r="M590" s="37">
        <f t="shared" si="180"/>
        <v>1</v>
      </c>
      <c r="N590" s="38"/>
      <c r="O590" s="46"/>
      <c r="P590" s="42">
        <f t="shared" si="182"/>
        <v>940</v>
      </c>
      <c r="Q590" s="38"/>
      <c r="R590" s="38"/>
      <c r="S590" s="38"/>
      <c r="T590" s="38"/>
      <c r="U590" s="37">
        <f t="shared" si="181"/>
        <v>1</v>
      </c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43"/>
      <c r="AH590" s="44"/>
      <c r="AI590" s="45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  <c r="BW590" s="38"/>
      <c r="BX590" s="38"/>
      <c r="BY590" s="38"/>
      <c r="BZ590" s="38"/>
      <c r="CA590" s="38"/>
      <c r="CB590" s="38"/>
      <c r="CC590" s="38"/>
      <c r="CD590" s="38"/>
      <c r="CE590" s="38"/>
      <c r="CF590" s="38"/>
      <c r="CG590" s="38"/>
      <c r="CH590" s="38"/>
    </row>
    <row r="591" spans="1:86">
      <c r="A591" s="33">
        <v>45938</v>
      </c>
      <c r="B591" s="1" t="s">
        <v>821</v>
      </c>
      <c r="C591" s="1" t="s">
        <v>821</v>
      </c>
      <c r="D591" s="1"/>
      <c r="E591" s="38" t="s">
        <v>41</v>
      </c>
      <c r="F591" s="38">
        <v>100</v>
      </c>
      <c r="G591" s="38" t="s">
        <v>590</v>
      </c>
      <c r="H591" s="38">
        <v>97</v>
      </c>
      <c r="I591" s="38">
        <v>920</v>
      </c>
      <c r="J591" s="11">
        <f t="shared" si="178"/>
        <v>920</v>
      </c>
      <c r="K591" s="5">
        <f t="shared" si="179"/>
        <v>9484.5360824742256</v>
      </c>
      <c r="L591" s="39">
        <v>1</v>
      </c>
      <c r="M591" s="37">
        <f t="shared" si="180"/>
        <v>1</v>
      </c>
      <c r="N591" s="38"/>
      <c r="O591" s="46"/>
      <c r="P591" s="42">
        <f t="shared" si="182"/>
        <v>920</v>
      </c>
      <c r="Q591" s="38"/>
      <c r="R591" s="38"/>
      <c r="S591" s="38"/>
      <c r="T591" s="38"/>
      <c r="U591" s="37">
        <f t="shared" si="181"/>
        <v>1</v>
      </c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43"/>
      <c r="AH591" s="44"/>
      <c r="AI591" s="45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  <c r="BS591" s="38"/>
      <c r="BT591" s="38"/>
      <c r="BU591" s="38"/>
      <c r="BV591" s="38"/>
      <c r="BW591" s="38"/>
      <c r="BX591" s="38"/>
      <c r="BY591" s="38"/>
      <c r="BZ591" s="38"/>
      <c r="CA591" s="38"/>
      <c r="CB591" s="38"/>
      <c r="CC591" s="38"/>
      <c r="CD591" s="38"/>
      <c r="CE591" s="38"/>
      <c r="CF591" s="38"/>
      <c r="CG591" s="38"/>
      <c r="CH591" s="38"/>
    </row>
    <row r="592" spans="1:86">
      <c r="A592" s="33">
        <v>45938</v>
      </c>
      <c r="B592" s="1" t="s">
        <v>821</v>
      </c>
      <c r="C592" s="1" t="s">
        <v>821</v>
      </c>
      <c r="D592" s="1"/>
      <c r="E592" s="38" t="s">
        <v>41</v>
      </c>
      <c r="F592" s="38">
        <v>100</v>
      </c>
      <c r="G592" s="38" t="s">
        <v>590</v>
      </c>
      <c r="H592" s="38">
        <v>97</v>
      </c>
      <c r="I592" s="38">
        <v>915</v>
      </c>
      <c r="J592" s="11">
        <f t="shared" si="178"/>
        <v>915</v>
      </c>
      <c r="K592" s="5">
        <f t="shared" si="179"/>
        <v>9432.9896907216498</v>
      </c>
      <c r="L592" s="39">
        <v>1</v>
      </c>
      <c r="M592" s="37">
        <f t="shared" si="180"/>
        <v>1</v>
      </c>
      <c r="N592" s="38"/>
      <c r="O592" s="46"/>
      <c r="P592" s="42">
        <f t="shared" si="182"/>
        <v>915</v>
      </c>
      <c r="Q592" s="38"/>
      <c r="R592" s="38"/>
      <c r="S592" s="38"/>
      <c r="T592" s="38"/>
      <c r="U592" s="37">
        <f t="shared" si="181"/>
        <v>1</v>
      </c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43"/>
      <c r="AH592" s="44"/>
      <c r="AI592" s="45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  <c r="BS592" s="38"/>
      <c r="BT592" s="38"/>
      <c r="BU592" s="38"/>
      <c r="BV592" s="38"/>
      <c r="BW592" s="38"/>
      <c r="BX592" s="38"/>
      <c r="BY592" s="38"/>
      <c r="BZ592" s="38"/>
      <c r="CA592" s="38"/>
      <c r="CB592" s="38"/>
      <c r="CC592" s="38"/>
      <c r="CD592" s="38"/>
      <c r="CE592" s="38"/>
      <c r="CF592" s="38"/>
      <c r="CG592" s="38"/>
      <c r="CH592" s="38"/>
    </row>
    <row r="593" spans="1:86">
      <c r="A593" s="33">
        <v>45938</v>
      </c>
      <c r="B593" s="1" t="s">
        <v>821</v>
      </c>
      <c r="C593" s="1" t="s">
        <v>821</v>
      </c>
      <c r="D593" s="1"/>
      <c r="E593" s="38" t="s">
        <v>41</v>
      </c>
      <c r="F593" s="38">
        <v>100</v>
      </c>
      <c r="G593" s="38" t="s">
        <v>590</v>
      </c>
      <c r="H593" s="38">
        <v>97</v>
      </c>
      <c r="I593" s="38">
        <v>932</v>
      </c>
      <c r="J593" s="11">
        <f t="shared" si="178"/>
        <v>932</v>
      </c>
      <c r="K593" s="5">
        <f t="shared" si="179"/>
        <v>9608.2474226804115</v>
      </c>
      <c r="L593" s="39">
        <v>1</v>
      </c>
      <c r="M593" s="37">
        <f t="shared" si="180"/>
        <v>1</v>
      </c>
      <c r="N593" s="38"/>
      <c r="O593" s="46"/>
      <c r="P593" s="42">
        <f t="shared" si="182"/>
        <v>932</v>
      </c>
      <c r="Q593" s="38"/>
      <c r="R593" s="38"/>
      <c r="S593" s="38"/>
      <c r="T593" s="38"/>
      <c r="U593" s="37">
        <f t="shared" si="181"/>
        <v>1</v>
      </c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43"/>
      <c r="AH593" s="44"/>
      <c r="AI593" s="45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  <c r="BS593" s="38"/>
      <c r="BT593" s="38"/>
      <c r="BU593" s="38"/>
      <c r="BV593" s="38"/>
      <c r="BW593" s="38"/>
      <c r="BX593" s="38"/>
      <c r="BY593" s="38"/>
      <c r="BZ593" s="38"/>
      <c r="CA593" s="38"/>
      <c r="CB593" s="38"/>
      <c r="CC593" s="38"/>
      <c r="CD593" s="38"/>
      <c r="CE593" s="38"/>
      <c r="CF593" s="38"/>
      <c r="CG593" s="38"/>
      <c r="CH593" s="38"/>
    </row>
    <row r="594" spans="1:86">
      <c r="A594" s="33">
        <v>45938</v>
      </c>
      <c r="B594" s="1" t="s">
        <v>821</v>
      </c>
      <c r="C594" s="1" t="s">
        <v>821</v>
      </c>
      <c r="D594" s="1"/>
      <c r="E594" s="38" t="s">
        <v>41</v>
      </c>
      <c r="F594" s="38">
        <v>100</v>
      </c>
      <c r="G594" s="38" t="s">
        <v>590</v>
      </c>
      <c r="H594" s="38">
        <v>97</v>
      </c>
      <c r="I594" s="38">
        <v>927</v>
      </c>
      <c r="J594" s="11">
        <f t="shared" si="178"/>
        <v>927</v>
      </c>
      <c r="K594" s="5">
        <f t="shared" si="179"/>
        <v>9556.7010309278339</v>
      </c>
      <c r="L594" s="39">
        <v>1</v>
      </c>
      <c r="M594" s="37">
        <f t="shared" si="180"/>
        <v>1</v>
      </c>
      <c r="N594" s="38"/>
      <c r="O594" s="46"/>
      <c r="P594" s="42">
        <f t="shared" si="182"/>
        <v>927</v>
      </c>
      <c r="Q594" s="38"/>
      <c r="R594" s="38"/>
      <c r="S594" s="38"/>
      <c r="T594" s="38"/>
      <c r="U594" s="37">
        <f t="shared" si="181"/>
        <v>1</v>
      </c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43"/>
      <c r="AH594" s="44"/>
      <c r="AI594" s="45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  <c r="BS594" s="38"/>
      <c r="BT594" s="38"/>
      <c r="BU594" s="38"/>
      <c r="BV594" s="38"/>
      <c r="BW594" s="38"/>
      <c r="BX594" s="38"/>
      <c r="BY594" s="38"/>
      <c r="BZ594" s="38"/>
      <c r="CA594" s="38"/>
      <c r="CB594" s="38"/>
      <c r="CC594" s="38"/>
      <c r="CD594" s="38"/>
      <c r="CE594" s="38"/>
      <c r="CF594" s="38"/>
      <c r="CG594" s="38"/>
      <c r="CH594" s="38"/>
    </row>
    <row r="595" spans="1:86">
      <c r="A595" s="33">
        <v>45938</v>
      </c>
      <c r="B595" s="1" t="s">
        <v>821</v>
      </c>
      <c r="C595" s="1" t="s">
        <v>821</v>
      </c>
      <c r="D595" s="1"/>
      <c r="E595" s="38" t="s">
        <v>41</v>
      </c>
      <c r="F595" s="38">
        <v>100</v>
      </c>
      <c r="G595" s="38" t="s">
        <v>590</v>
      </c>
      <c r="H595" s="38">
        <v>97</v>
      </c>
      <c r="I595" s="38">
        <v>926</v>
      </c>
      <c r="J595" s="11">
        <f t="shared" si="178"/>
        <v>926</v>
      </c>
      <c r="K595" s="5">
        <f t="shared" si="179"/>
        <v>9546.3917525773195</v>
      </c>
      <c r="L595" s="39">
        <v>1</v>
      </c>
      <c r="M595" s="37">
        <f t="shared" si="180"/>
        <v>1</v>
      </c>
      <c r="N595" s="38"/>
      <c r="O595" s="46"/>
      <c r="P595" s="42">
        <f t="shared" si="182"/>
        <v>926</v>
      </c>
      <c r="Q595" s="38"/>
      <c r="R595" s="38"/>
      <c r="S595" s="38"/>
      <c r="T595" s="38"/>
      <c r="U595" s="37">
        <f t="shared" si="181"/>
        <v>1</v>
      </c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43"/>
      <c r="AH595" s="44"/>
      <c r="AI595" s="45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  <c r="BS595" s="38"/>
      <c r="BT595" s="38"/>
      <c r="BU595" s="38"/>
      <c r="BV595" s="38"/>
      <c r="BW595" s="38"/>
      <c r="BX595" s="38"/>
      <c r="BY595" s="38"/>
      <c r="BZ595" s="38"/>
      <c r="CA595" s="38"/>
      <c r="CB595" s="38"/>
      <c r="CC595" s="38"/>
      <c r="CD595" s="38"/>
      <c r="CE595" s="38"/>
      <c r="CF595" s="38"/>
      <c r="CG595" s="38"/>
      <c r="CH595" s="38"/>
    </row>
    <row r="596" spans="1:86">
      <c r="A596" s="33">
        <v>45938</v>
      </c>
      <c r="B596" s="1" t="s">
        <v>821</v>
      </c>
      <c r="C596" s="1" t="s">
        <v>821</v>
      </c>
      <c r="D596" s="1"/>
      <c r="E596" s="38" t="s">
        <v>41</v>
      </c>
      <c r="F596" s="38">
        <v>100</v>
      </c>
      <c r="G596" s="38" t="s">
        <v>590</v>
      </c>
      <c r="H596" s="38">
        <v>97</v>
      </c>
      <c r="I596" s="38">
        <v>925</v>
      </c>
      <c r="J596" s="11">
        <f t="shared" si="178"/>
        <v>925</v>
      </c>
      <c r="K596" s="5">
        <f t="shared" si="179"/>
        <v>9536.0824742268032</v>
      </c>
      <c r="L596" s="39">
        <v>1</v>
      </c>
      <c r="M596" s="37">
        <f t="shared" si="180"/>
        <v>1</v>
      </c>
      <c r="N596" s="38"/>
      <c r="O596" s="46"/>
      <c r="P596" s="42">
        <f t="shared" si="182"/>
        <v>925</v>
      </c>
      <c r="Q596" s="38"/>
      <c r="R596" s="38"/>
      <c r="S596" s="38"/>
      <c r="T596" s="38"/>
      <c r="U596" s="37">
        <f t="shared" si="181"/>
        <v>1</v>
      </c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43"/>
      <c r="AH596" s="44"/>
      <c r="AI596" s="45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  <c r="BS596" s="38"/>
      <c r="BT596" s="38"/>
      <c r="BU596" s="38"/>
      <c r="BV596" s="38"/>
      <c r="BW596" s="38"/>
      <c r="BX596" s="38"/>
      <c r="BY596" s="38"/>
      <c r="BZ596" s="38"/>
      <c r="CA596" s="38"/>
      <c r="CB596" s="38"/>
      <c r="CC596" s="38"/>
      <c r="CD596" s="38"/>
      <c r="CE596" s="38"/>
      <c r="CF596" s="38"/>
      <c r="CG596" s="38"/>
      <c r="CH596" s="38"/>
    </row>
    <row r="597" spans="1:86">
      <c r="A597" s="33">
        <v>45938</v>
      </c>
      <c r="B597" s="1" t="s">
        <v>821</v>
      </c>
      <c r="C597" s="1" t="s">
        <v>821</v>
      </c>
      <c r="D597" s="1"/>
      <c r="E597" s="38" t="s">
        <v>41</v>
      </c>
      <c r="F597" s="38">
        <v>100</v>
      </c>
      <c r="G597" s="38" t="s">
        <v>590</v>
      </c>
      <c r="H597" s="38">
        <v>97</v>
      </c>
      <c r="I597" s="38">
        <v>926</v>
      </c>
      <c r="J597" s="11">
        <f t="shared" si="178"/>
        <v>926</v>
      </c>
      <c r="K597" s="5">
        <f t="shared" si="179"/>
        <v>9546.3917525773195</v>
      </c>
      <c r="L597" s="39">
        <v>1</v>
      </c>
      <c r="M597" s="37">
        <f t="shared" si="180"/>
        <v>1</v>
      </c>
      <c r="N597" s="38"/>
      <c r="O597" s="46"/>
      <c r="P597" s="42">
        <f t="shared" si="182"/>
        <v>926</v>
      </c>
      <c r="Q597" s="38"/>
      <c r="R597" s="38"/>
      <c r="S597" s="38"/>
      <c r="T597" s="38"/>
      <c r="U597" s="37">
        <f t="shared" si="181"/>
        <v>1</v>
      </c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43"/>
      <c r="AH597" s="44"/>
      <c r="AI597" s="45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  <c r="BS597" s="38"/>
      <c r="BT597" s="38"/>
      <c r="BU597" s="38"/>
      <c r="BV597" s="38"/>
      <c r="BW597" s="38"/>
      <c r="BX597" s="38"/>
      <c r="BY597" s="38"/>
      <c r="BZ597" s="38"/>
      <c r="CA597" s="38"/>
      <c r="CB597" s="38"/>
      <c r="CC597" s="38"/>
      <c r="CD597" s="38"/>
      <c r="CE597" s="38"/>
      <c r="CF597" s="38"/>
      <c r="CG597" s="38"/>
      <c r="CH597" s="38"/>
    </row>
    <row r="598" spans="1:86">
      <c r="A598" s="33">
        <v>45938</v>
      </c>
      <c r="B598" s="1" t="s">
        <v>821</v>
      </c>
      <c r="C598" s="1" t="s">
        <v>821</v>
      </c>
      <c r="D598" s="1"/>
      <c r="E598" s="38" t="s">
        <v>41</v>
      </c>
      <c r="F598" s="38">
        <v>100</v>
      </c>
      <c r="G598" s="38" t="s">
        <v>590</v>
      </c>
      <c r="H598" s="38">
        <v>97</v>
      </c>
      <c r="I598" s="38">
        <v>922</v>
      </c>
      <c r="J598" s="11">
        <f t="shared" si="178"/>
        <v>922</v>
      </c>
      <c r="K598" s="5">
        <f t="shared" si="179"/>
        <v>9505.1546391752581</v>
      </c>
      <c r="L598" s="39">
        <v>1</v>
      </c>
      <c r="M598" s="37">
        <f t="shared" si="180"/>
        <v>1</v>
      </c>
      <c r="N598" s="38"/>
      <c r="O598" s="46"/>
      <c r="P598" s="42">
        <f t="shared" si="182"/>
        <v>922</v>
      </c>
      <c r="Q598" s="38"/>
      <c r="R598" s="38"/>
      <c r="S598" s="38"/>
      <c r="T598" s="38"/>
      <c r="U598" s="37">
        <f t="shared" si="181"/>
        <v>1</v>
      </c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43"/>
      <c r="AH598" s="44"/>
      <c r="AI598" s="45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  <c r="BS598" s="38"/>
      <c r="BT598" s="38"/>
      <c r="BU598" s="38"/>
      <c r="BV598" s="38"/>
      <c r="BW598" s="38"/>
      <c r="BX598" s="38"/>
      <c r="BY598" s="38"/>
      <c r="BZ598" s="38"/>
      <c r="CA598" s="38"/>
      <c r="CB598" s="38"/>
      <c r="CC598" s="38"/>
      <c r="CD598" s="38"/>
      <c r="CE598" s="38"/>
      <c r="CF598" s="38"/>
      <c r="CG598" s="38"/>
      <c r="CH598" s="38"/>
    </row>
    <row r="599" spans="1:86">
      <c r="A599" s="33">
        <v>45938</v>
      </c>
      <c r="B599" s="1" t="s">
        <v>821</v>
      </c>
      <c r="C599" s="1" t="s">
        <v>821</v>
      </c>
      <c r="D599" s="1"/>
      <c r="E599" s="38" t="s">
        <v>41</v>
      </c>
      <c r="F599" s="38">
        <v>100</v>
      </c>
      <c r="G599" s="38" t="s">
        <v>590</v>
      </c>
      <c r="H599" s="38">
        <v>97</v>
      </c>
      <c r="I599" s="38">
        <v>925</v>
      </c>
      <c r="J599" s="11">
        <f t="shared" si="178"/>
        <v>925</v>
      </c>
      <c r="K599" s="5">
        <f t="shared" si="179"/>
        <v>9536.0824742268032</v>
      </c>
      <c r="L599" s="39">
        <v>1</v>
      </c>
      <c r="M599" s="37">
        <f t="shared" si="180"/>
        <v>1</v>
      </c>
      <c r="N599" s="38"/>
      <c r="O599" s="46"/>
      <c r="P599" s="42">
        <f t="shared" si="182"/>
        <v>925</v>
      </c>
      <c r="Q599" s="38"/>
      <c r="R599" s="38"/>
      <c r="S599" s="38"/>
      <c r="T599" s="38"/>
      <c r="U599" s="37">
        <f t="shared" si="181"/>
        <v>1</v>
      </c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43"/>
      <c r="AH599" s="44"/>
      <c r="AI599" s="45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  <c r="BS599" s="38"/>
      <c r="BT599" s="38"/>
      <c r="BU599" s="38"/>
      <c r="BV599" s="38"/>
      <c r="BW599" s="38"/>
      <c r="BX599" s="38"/>
      <c r="BY599" s="38"/>
      <c r="BZ599" s="38"/>
      <c r="CA599" s="38"/>
      <c r="CB599" s="38"/>
      <c r="CC599" s="38"/>
      <c r="CD599" s="38"/>
      <c r="CE599" s="38"/>
      <c r="CF599" s="38"/>
      <c r="CG599" s="38"/>
      <c r="CH599" s="38"/>
    </row>
    <row r="600" spans="1:86">
      <c r="A600" s="33">
        <v>45938</v>
      </c>
      <c r="B600" s="1" t="s">
        <v>821</v>
      </c>
      <c r="C600" s="1" t="s">
        <v>821</v>
      </c>
      <c r="D600" s="1"/>
      <c r="E600" s="38" t="s">
        <v>41</v>
      </c>
      <c r="F600" s="38">
        <v>100</v>
      </c>
      <c r="G600" s="38" t="s">
        <v>590</v>
      </c>
      <c r="H600" s="38">
        <v>97</v>
      </c>
      <c r="I600" s="38">
        <v>924</v>
      </c>
      <c r="J600" s="11">
        <f t="shared" si="178"/>
        <v>924</v>
      </c>
      <c r="K600" s="5">
        <f t="shared" si="179"/>
        <v>9525.7731958762888</v>
      </c>
      <c r="L600" s="39">
        <v>1</v>
      </c>
      <c r="M600" s="37">
        <f t="shared" si="180"/>
        <v>1</v>
      </c>
      <c r="N600" s="38"/>
      <c r="O600" s="46"/>
      <c r="P600" s="42">
        <f t="shared" si="182"/>
        <v>924</v>
      </c>
      <c r="Q600" s="38"/>
      <c r="R600" s="38"/>
      <c r="S600" s="38"/>
      <c r="T600" s="38"/>
      <c r="U600" s="37">
        <f t="shared" si="181"/>
        <v>1</v>
      </c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43"/>
      <c r="AH600" s="44"/>
      <c r="AI600" s="45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  <c r="BS600" s="38"/>
      <c r="BT600" s="38"/>
      <c r="BU600" s="38"/>
      <c r="BV600" s="38"/>
      <c r="BW600" s="38"/>
      <c r="BX600" s="38"/>
      <c r="BY600" s="38"/>
      <c r="BZ600" s="38"/>
      <c r="CA600" s="38"/>
      <c r="CB600" s="38"/>
      <c r="CC600" s="38"/>
      <c r="CD600" s="38"/>
      <c r="CE600" s="38"/>
      <c r="CF600" s="38"/>
      <c r="CG600" s="38"/>
      <c r="CH600" s="38"/>
    </row>
    <row r="601" spans="1:86">
      <c r="A601" s="33">
        <v>45938</v>
      </c>
      <c r="B601" s="1" t="s">
        <v>821</v>
      </c>
      <c r="C601" s="1" t="s">
        <v>821</v>
      </c>
      <c r="D601" s="1"/>
      <c r="E601" s="38" t="s">
        <v>41</v>
      </c>
      <c r="F601" s="38">
        <v>100</v>
      </c>
      <c r="G601" s="38" t="s">
        <v>590</v>
      </c>
      <c r="H601" s="38">
        <v>97</v>
      </c>
      <c r="I601" s="38">
        <v>924</v>
      </c>
      <c r="J601" s="11">
        <f t="shared" si="178"/>
        <v>924</v>
      </c>
      <c r="K601" s="5">
        <f t="shared" si="179"/>
        <v>9525.7731958762888</v>
      </c>
      <c r="L601" s="39">
        <v>1</v>
      </c>
      <c r="M601" s="37">
        <f t="shared" si="180"/>
        <v>1</v>
      </c>
      <c r="N601" s="38"/>
      <c r="O601" s="46"/>
      <c r="P601" s="42">
        <f t="shared" si="182"/>
        <v>924</v>
      </c>
      <c r="Q601" s="38"/>
      <c r="R601" s="38"/>
      <c r="S601" s="38"/>
      <c r="T601" s="38"/>
      <c r="U601" s="37">
        <f t="shared" si="181"/>
        <v>1</v>
      </c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43"/>
      <c r="AH601" s="44"/>
      <c r="AI601" s="45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  <c r="BW601" s="38"/>
      <c r="BX601" s="38"/>
      <c r="BY601" s="38"/>
      <c r="BZ601" s="38"/>
      <c r="CA601" s="38"/>
      <c r="CB601" s="38"/>
      <c r="CC601" s="38"/>
      <c r="CD601" s="38"/>
      <c r="CE601" s="38"/>
      <c r="CF601" s="38"/>
      <c r="CG601" s="38"/>
      <c r="CH601" s="38"/>
    </row>
    <row r="602" spans="1:86">
      <c r="A602" s="33">
        <v>45938</v>
      </c>
      <c r="B602" s="1" t="s">
        <v>831</v>
      </c>
      <c r="C602" s="1" t="s">
        <v>831</v>
      </c>
      <c r="D602" s="1"/>
      <c r="E602" s="38" t="s">
        <v>41</v>
      </c>
      <c r="F602" s="38">
        <v>120</v>
      </c>
      <c r="G602" s="38" t="s">
        <v>590</v>
      </c>
      <c r="H602" s="38">
        <v>106</v>
      </c>
      <c r="I602" s="38">
        <v>985</v>
      </c>
      <c r="J602" s="11">
        <f t="shared" si="178"/>
        <v>985</v>
      </c>
      <c r="K602" s="5">
        <f t="shared" si="179"/>
        <v>7743.7106918238987</v>
      </c>
      <c r="L602" s="39">
        <v>1</v>
      </c>
      <c r="M602" s="37">
        <f t="shared" si="180"/>
        <v>1</v>
      </c>
      <c r="N602" s="38"/>
      <c r="O602" s="46"/>
      <c r="P602" s="42"/>
      <c r="Q602" s="38"/>
      <c r="R602" s="38"/>
      <c r="S602" s="38"/>
      <c r="T602" s="38"/>
      <c r="U602" s="37">
        <f t="shared" si="181"/>
        <v>1</v>
      </c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43"/>
      <c r="AH602" s="44"/>
      <c r="AI602" s="45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  <c r="BW602" s="38"/>
      <c r="BX602" s="38"/>
      <c r="BY602" s="38"/>
      <c r="BZ602" s="38"/>
      <c r="CA602" s="38"/>
      <c r="CB602" s="38"/>
      <c r="CC602" s="38"/>
      <c r="CD602" s="38"/>
      <c r="CE602" s="38"/>
      <c r="CF602" s="38"/>
      <c r="CG602" s="38"/>
      <c r="CH602" s="38"/>
    </row>
    <row r="603" spans="1:86">
      <c r="A603" s="33">
        <v>45943</v>
      </c>
      <c r="B603" s="1" t="s">
        <v>823</v>
      </c>
      <c r="C603" s="1" t="s">
        <v>823</v>
      </c>
      <c r="D603" s="1"/>
      <c r="E603" s="38" t="s">
        <v>50</v>
      </c>
      <c r="F603" s="38">
        <v>120</v>
      </c>
      <c r="G603" s="38" t="s">
        <v>590</v>
      </c>
      <c r="H603" s="38">
        <v>165</v>
      </c>
      <c r="I603" s="38">
        <v>1760</v>
      </c>
      <c r="J603" s="11">
        <f t="shared" ref="J603:J665" si="183">IFERROR(IF(AND(V603=3,U603&gt;0),I603,I603*U603),"Verify")</f>
        <v>1760</v>
      </c>
      <c r="K603" s="5">
        <f t="shared" ref="K603:K666" si="184">+J603/(F603*H603*10^-5)</f>
        <v>8888.8888888888887</v>
      </c>
      <c r="L603" s="39">
        <v>1</v>
      </c>
      <c r="M603" s="37">
        <f t="shared" si="180"/>
        <v>1</v>
      </c>
      <c r="N603" s="38"/>
      <c r="O603" s="46"/>
      <c r="P603" s="42"/>
      <c r="Q603" s="38"/>
      <c r="R603" s="38"/>
      <c r="S603" s="38"/>
      <c r="T603" s="38"/>
      <c r="U603" s="37">
        <f t="shared" si="181"/>
        <v>1</v>
      </c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43"/>
      <c r="AH603" s="44"/>
      <c r="AI603" s="45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  <c r="BS603" s="38"/>
      <c r="BT603" s="38"/>
      <c r="BU603" s="38"/>
      <c r="BV603" s="38"/>
      <c r="BW603" s="38"/>
      <c r="BX603" s="38"/>
      <c r="BY603" s="38"/>
      <c r="BZ603" s="38"/>
      <c r="CA603" s="38"/>
      <c r="CB603" s="38"/>
      <c r="CC603" s="38"/>
      <c r="CD603" s="38"/>
      <c r="CE603" s="38"/>
      <c r="CF603" s="38"/>
      <c r="CG603" s="38"/>
      <c r="CH603" s="38"/>
    </row>
    <row r="604" spans="1:86">
      <c r="A604" s="33">
        <v>45943</v>
      </c>
      <c r="B604" s="1" t="s">
        <v>823</v>
      </c>
      <c r="C604" s="1" t="s">
        <v>823</v>
      </c>
      <c r="D604" s="1"/>
      <c r="E604" s="38" t="s">
        <v>50</v>
      </c>
      <c r="F604" s="38">
        <v>120</v>
      </c>
      <c r="G604" s="38" t="s">
        <v>590</v>
      </c>
      <c r="H604" s="38">
        <v>165</v>
      </c>
      <c r="I604" s="38">
        <v>1729</v>
      </c>
      <c r="J604" s="11">
        <f t="shared" si="183"/>
        <v>1729</v>
      </c>
      <c r="K604" s="5">
        <f t="shared" si="184"/>
        <v>8732.3232323232314</v>
      </c>
      <c r="L604" s="39">
        <v>1</v>
      </c>
      <c r="M604" s="37">
        <f t="shared" si="180"/>
        <v>1</v>
      </c>
      <c r="N604" s="38"/>
      <c r="O604" s="46"/>
      <c r="P604" s="42"/>
      <c r="Q604" s="38"/>
      <c r="R604" s="38"/>
      <c r="S604" s="38"/>
      <c r="T604" s="38"/>
      <c r="U604" s="37">
        <f t="shared" si="181"/>
        <v>1</v>
      </c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43"/>
      <c r="AH604" s="44"/>
      <c r="AI604" s="45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  <c r="BS604" s="38"/>
      <c r="BT604" s="38"/>
      <c r="BU604" s="38"/>
      <c r="BV604" s="38"/>
      <c r="BW604" s="38"/>
      <c r="BX604" s="38"/>
      <c r="BY604" s="38"/>
      <c r="BZ604" s="38"/>
      <c r="CA604" s="38"/>
      <c r="CB604" s="38"/>
      <c r="CC604" s="38"/>
      <c r="CD604" s="38"/>
      <c r="CE604" s="38"/>
      <c r="CF604" s="38"/>
      <c r="CG604" s="38"/>
      <c r="CH604" s="38"/>
    </row>
    <row r="605" spans="1:86">
      <c r="A605" s="33">
        <v>45943</v>
      </c>
      <c r="B605" s="1"/>
      <c r="C605" s="1"/>
      <c r="D605" s="1"/>
      <c r="E605" s="38" t="s">
        <v>50</v>
      </c>
      <c r="F605" s="38">
        <v>120</v>
      </c>
      <c r="G605" s="38" t="s">
        <v>590</v>
      </c>
      <c r="H605" s="38">
        <v>180</v>
      </c>
      <c r="I605" s="38">
        <v>1773</v>
      </c>
      <c r="J605" s="11">
        <f t="shared" si="183"/>
        <v>1773</v>
      </c>
      <c r="K605" s="5">
        <f t="shared" si="184"/>
        <v>8208.3333333333321</v>
      </c>
      <c r="L605" s="39">
        <v>1</v>
      </c>
      <c r="M605" s="37">
        <f t="shared" si="180"/>
        <v>1</v>
      </c>
      <c r="N605" s="38"/>
      <c r="O605" s="46"/>
      <c r="P605" s="42"/>
      <c r="Q605" s="38"/>
      <c r="R605" s="38"/>
      <c r="S605" s="38"/>
      <c r="T605" s="38"/>
      <c r="U605" s="37">
        <f t="shared" si="181"/>
        <v>1</v>
      </c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43"/>
      <c r="AH605" s="44"/>
      <c r="AI605" s="45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  <c r="BS605" s="38"/>
      <c r="BT605" s="38"/>
      <c r="BU605" s="38"/>
      <c r="BV605" s="38"/>
      <c r="BW605" s="38"/>
      <c r="BX605" s="38"/>
      <c r="BY605" s="38"/>
      <c r="BZ605" s="38"/>
      <c r="CA605" s="38"/>
      <c r="CB605" s="38"/>
      <c r="CC605" s="38"/>
      <c r="CD605" s="38"/>
      <c r="CE605" s="38"/>
      <c r="CF605" s="38"/>
      <c r="CG605" s="38"/>
      <c r="CH605" s="38"/>
    </row>
    <row r="606" spans="1:86">
      <c r="A606" s="33">
        <v>45943</v>
      </c>
      <c r="B606" s="1"/>
      <c r="C606" s="1"/>
      <c r="D606" s="1"/>
      <c r="E606" s="38" t="s">
        <v>50</v>
      </c>
      <c r="F606" s="38">
        <v>120</v>
      </c>
      <c r="G606" s="38" t="s">
        <v>590</v>
      </c>
      <c r="H606" s="38">
        <v>180</v>
      </c>
      <c r="I606" s="38">
        <v>1774</v>
      </c>
      <c r="J606" s="11">
        <f t="shared" si="183"/>
        <v>1774</v>
      </c>
      <c r="K606" s="5">
        <f t="shared" si="184"/>
        <v>8212.9629629629617</v>
      </c>
      <c r="L606" s="39">
        <v>1</v>
      </c>
      <c r="M606" s="37">
        <f t="shared" si="180"/>
        <v>1</v>
      </c>
      <c r="N606" s="38"/>
      <c r="O606" s="46"/>
      <c r="P606" s="42"/>
      <c r="Q606" s="38"/>
      <c r="R606" s="38"/>
      <c r="S606" s="38"/>
      <c r="T606" s="38"/>
      <c r="U606" s="37">
        <f t="shared" si="181"/>
        <v>1</v>
      </c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43"/>
      <c r="AH606" s="44"/>
      <c r="AI606" s="45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  <c r="BS606" s="38"/>
      <c r="BT606" s="38"/>
      <c r="BU606" s="38"/>
      <c r="BV606" s="38"/>
      <c r="BW606" s="38"/>
      <c r="BX606" s="38"/>
      <c r="BY606" s="38"/>
      <c r="BZ606" s="38"/>
      <c r="CA606" s="38"/>
      <c r="CB606" s="38"/>
      <c r="CC606" s="38"/>
      <c r="CD606" s="38"/>
      <c r="CE606" s="38"/>
      <c r="CF606" s="38"/>
      <c r="CG606" s="38"/>
      <c r="CH606" s="38"/>
    </row>
    <row r="607" spans="1:86">
      <c r="A607" s="33">
        <v>45943</v>
      </c>
      <c r="B607" s="1"/>
      <c r="C607" s="1"/>
      <c r="D607" s="1"/>
      <c r="E607" s="38" t="s">
        <v>50</v>
      </c>
      <c r="F607" s="38">
        <v>120</v>
      </c>
      <c r="G607" s="38" t="s">
        <v>590</v>
      </c>
      <c r="H607" s="38">
        <v>180</v>
      </c>
      <c r="I607" s="38">
        <v>1763</v>
      </c>
      <c r="J607" s="11">
        <f t="shared" si="183"/>
        <v>1763</v>
      </c>
      <c r="K607" s="5">
        <f t="shared" si="184"/>
        <v>8162.0370370370365</v>
      </c>
      <c r="L607" s="39">
        <v>1</v>
      </c>
      <c r="M607" s="37">
        <f t="shared" si="180"/>
        <v>1</v>
      </c>
      <c r="N607" s="38"/>
      <c r="O607" s="46"/>
      <c r="P607" s="42"/>
      <c r="Q607" s="38"/>
      <c r="R607" s="38"/>
      <c r="S607" s="38"/>
      <c r="T607" s="38"/>
      <c r="U607" s="37">
        <f t="shared" si="181"/>
        <v>1</v>
      </c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43"/>
      <c r="AH607" s="44"/>
      <c r="AI607" s="45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  <c r="BS607" s="38"/>
      <c r="BT607" s="38"/>
      <c r="BU607" s="38"/>
      <c r="BV607" s="38"/>
      <c r="BW607" s="38"/>
      <c r="BX607" s="38"/>
      <c r="BY607" s="38"/>
      <c r="BZ607" s="38"/>
      <c r="CA607" s="38"/>
      <c r="CB607" s="38"/>
      <c r="CC607" s="38"/>
      <c r="CD607" s="38"/>
      <c r="CE607" s="38"/>
      <c r="CF607" s="38"/>
      <c r="CG607" s="38"/>
      <c r="CH607" s="38"/>
    </row>
    <row r="608" spans="1:86">
      <c r="A608" s="33">
        <v>45943</v>
      </c>
      <c r="B608" s="1"/>
      <c r="C608" s="1"/>
      <c r="D608" s="1"/>
      <c r="E608" s="38" t="s">
        <v>50</v>
      </c>
      <c r="F608" s="38">
        <v>120</v>
      </c>
      <c r="G608" s="38" t="s">
        <v>590</v>
      </c>
      <c r="H608" s="38">
        <v>180</v>
      </c>
      <c r="I608" s="38">
        <v>1799</v>
      </c>
      <c r="J608" s="11">
        <f t="shared" si="183"/>
        <v>1799</v>
      </c>
      <c r="K608" s="5">
        <f t="shared" si="184"/>
        <v>8328.7037037037026</v>
      </c>
      <c r="L608" s="39">
        <v>1</v>
      </c>
      <c r="M608" s="37">
        <f t="shared" si="180"/>
        <v>1</v>
      </c>
      <c r="N608" s="38"/>
      <c r="O608" s="46"/>
      <c r="P608" s="42"/>
      <c r="Q608" s="38"/>
      <c r="R608" s="38"/>
      <c r="S608" s="38"/>
      <c r="T608" s="38"/>
      <c r="U608" s="37">
        <f t="shared" si="181"/>
        <v>1</v>
      </c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43"/>
      <c r="AH608" s="44"/>
      <c r="AI608" s="45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  <c r="BS608" s="38"/>
      <c r="BT608" s="38"/>
      <c r="BU608" s="38"/>
      <c r="BV608" s="38"/>
      <c r="BW608" s="38"/>
      <c r="BX608" s="38"/>
      <c r="BY608" s="38"/>
      <c r="BZ608" s="38"/>
      <c r="CA608" s="38"/>
      <c r="CB608" s="38"/>
      <c r="CC608" s="38"/>
      <c r="CD608" s="38"/>
      <c r="CE608" s="38"/>
      <c r="CF608" s="38"/>
      <c r="CG608" s="38"/>
      <c r="CH608" s="38"/>
    </row>
    <row r="609" spans="1:86">
      <c r="A609" s="33">
        <v>45943</v>
      </c>
      <c r="B609" s="1"/>
      <c r="C609" s="1"/>
      <c r="D609" s="1"/>
      <c r="E609" s="38" t="s">
        <v>50</v>
      </c>
      <c r="F609" s="38">
        <v>120</v>
      </c>
      <c r="G609" s="38" t="s">
        <v>590</v>
      </c>
      <c r="H609" s="38">
        <v>180</v>
      </c>
      <c r="I609" s="38">
        <v>1801</v>
      </c>
      <c r="J609" s="11">
        <f t="shared" si="183"/>
        <v>1801</v>
      </c>
      <c r="K609" s="5">
        <f t="shared" si="184"/>
        <v>8337.9629629629617</v>
      </c>
      <c r="L609" s="39">
        <v>1</v>
      </c>
      <c r="M609" s="37">
        <f t="shared" si="180"/>
        <v>1</v>
      </c>
      <c r="N609" s="38"/>
      <c r="O609" s="46"/>
      <c r="P609" s="42"/>
      <c r="Q609" s="38"/>
      <c r="R609" s="38"/>
      <c r="S609" s="38"/>
      <c r="T609" s="38"/>
      <c r="U609" s="37">
        <f t="shared" si="181"/>
        <v>1</v>
      </c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43"/>
      <c r="AH609" s="44"/>
      <c r="AI609" s="45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  <c r="BS609" s="38"/>
      <c r="BT609" s="38"/>
      <c r="BU609" s="38"/>
      <c r="BV609" s="38"/>
      <c r="BW609" s="38"/>
      <c r="BX609" s="38"/>
      <c r="BY609" s="38"/>
      <c r="BZ609" s="38"/>
      <c r="CA609" s="38"/>
      <c r="CB609" s="38"/>
      <c r="CC609" s="38"/>
      <c r="CD609" s="38"/>
      <c r="CE609" s="38"/>
      <c r="CF609" s="38"/>
      <c r="CG609" s="38"/>
      <c r="CH609" s="38"/>
    </row>
    <row r="610" spans="1:86">
      <c r="A610" s="33">
        <v>45943</v>
      </c>
      <c r="B610" s="1"/>
      <c r="C610" s="1" t="s">
        <v>809</v>
      </c>
      <c r="D610" s="1"/>
      <c r="E610" s="38" t="s">
        <v>41</v>
      </c>
      <c r="F610" s="38">
        <v>120</v>
      </c>
      <c r="G610" s="38" t="s">
        <v>590</v>
      </c>
      <c r="H610" s="38">
        <v>125</v>
      </c>
      <c r="I610" s="38">
        <v>1071</v>
      </c>
      <c r="J610" s="11">
        <f t="shared" si="183"/>
        <v>1071</v>
      </c>
      <c r="K610" s="5">
        <f t="shared" si="184"/>
        <v>7139.9999999999991</v>
      </c>
      <c r="L610" s="39">
        <v>1</v>
      </c>
      <c r="M610" s="37">
        <f t="shared" si="180"/>
        <v>1</v>
      </c>
      <c r="N610" s="38"/>
      <c r="O610" s="46"/>
      <c r="P610" s="42"/>
      <c r="Q610" s="38"/>
      <c r="R610" s="38"/>
      <c r="S610" s="38"/>
      <c r="T610" s="38"/>
      <c r="U610" s="37">
        <f t="shared" si="181"/>
        <v>1</v>
      </c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43"/>
      <c r="AH610" s="44"/>
      <c r="AI610" s="45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  <c r="BS610" s="38"/>
      <c r="BT610" s="38"/>
      <c r="BU610" s="38"/>
      <c r="BV610" s="38"/>
      <c r="BW610" s="38"/>
      <c r="BX610" s="38"/>
      <c r="BY610" s="38"/>
      <c r="BZ610" s="38"/>
      <c r="CA610" s="38"/>
      <c r="CB610" s="38"/>
      <c r="CC610" s="38"/>
      <c r="CD610" s="38"/>
      <c r="CE610" s="38"/>
      <c r="CF610" s="38"/>
      <c r="CG610" s="38"/>
      <c r="CH610" s="38"/>
    </row>
    <row r="611" spans="1:86">
      <c r="A611" s="33">
        <v>45943</v>
      </c>
      <c r="B611" s="1"/>
      <c r="C611" s="1" t="s">
        <v>809</v>
      </c>
      <c r="D611" s="1"/>
      <c r="E611" s="38" t="s">
        <v>41</v>
      </c>
      <c r="F611" s="38">
        <v>120</v>
      </c>
      <c r="G611" s="38" t="s">
        <v>590</v>
      </c>
      <c r="H611" s="38">
        <v>125</v>
      </c>
      <c r="I611" s="38">
        <v>1079</v>
      </c>
      <c r="J611" s="11">
        <f t="shared" si="183"/>
        <v>1079</v>
      </c>
      <c r="K611" s="5">
        <f t="shared" si="184"/>
        <v>7193.3333333333321</v>
      </c>
      <c r="L611" s="39">
        <v>1</v>
      </c>
      <c r="M611" s="37">
        <f t="shared" si="180"/>
        <v>1</v>
      </c>
      <c r="N611" s="38"/>
      <c r="O611" s="46"/>
      <c r="P611" s="42"/>
      <c r="Q611" s="38"/>
      <c r="R611" s="38"/>
      <c r="S611" s="38"/>
      <c r="T611" s="38"/>
      <c r="U611" s="37">
        <f t="shared" si="181"/>
        <v>1</v>
      </c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43"/>
      <c r="AH611" s="44"/>
      <c r="AI611" s="45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  <c r="BS611" s="38"/>
      <c r="BT611" s="38"/>
      <c r="BU611" s="38"/>
      <c r="BV611" s="38"/>
      <c r="BW611" s="38"/>
      <c r="BX611" s="38"/>
      <c r="BY611" s="38"/>
      <c r="BZ611" s="38"/>
      <c r="CA611" s="38"/>
      <c r="CB611" s="38"/>
      <c r="CC611" s="38"/>
      <c r="CD611" s="38"/>
      <c r="CE611" s="38"/>
      <c r="CF611" s="38"/>
      <c r="CG611" s="38"/>
      <c r="CH611" s="38"/>
    </row>
    <row r="612" spans="1:86">
      <c r="A612" s="33">
        <v>45943</v>
      </c>
      <c r="B612" s="1"/>
      <c r="C612" s="1" t="s">
        <v>809</v>
      </c>
      <c r="D612" s="1"/>
      <c r="E612" s="38" t="s">
        <v>41</v>
      </c>
      <c r="F612" s="38">
        <v>120</v>
      </c>
      <c r="G612" s="38" t="s">
        <v>590</v>
      </c>
      <c r="H612" s="38">
        <v>125</v>
      </c>
      <c r="I612" s="38">
        <v>1113</v>
      </c>
      <c r="J612" s="11">
        <f t="shared" si="183"/>
        <v>1113</v>
      </c>
      <c r="K612" s="5">
        <f t="shared" si="184"/>
        <v>7419.9999999999991</v>
      </c>
      <c r="L612" s="39">
        <v>1</v>
      </c>
      <c r="M612" s="37">
        <f t="shared" si="180"/>
        <v>1</v>
      </c>
      <c r="N612" s="38"/>
      <c r="O612" s="46"/>
      <c r="P612" s="42"/>
      <c r="Q612" s="38"/>
      <c r="R612" s="38"/>
      <c r="S612" s="38"/>
      <c r="T612" s="38"/>
      <c r="U612" s="37">
        <f t="shared" si="181"/>
        <v>1</v>
      </c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43"/>
      <c r="AH612" s="44"/>
      <c r="AI612" s="45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  <c r="BS612" s="38"/>
      <c r="BT612" s="38"/>
      <c r="BU612" s="38"/>
      <c r="BV612" s="38"/>
      <c r="BW612" s="38"/>
      <c r="BX612" s="38"/>
      <c r="BY612" s="38"/>
      <c r="BZ612" s="38"/>
      <c r="CA612" s="38"/>
      <c r="CB612" s="38"/>
      <c r="CC612" s="38"/>
      <c r="CD612" s="38"/>
      <c r="CE612" s="38"/>
      <c r="CF612" s="38"/>
      <c r="CG612" s="38"/>
      <c r="CH612" s="38"/>
    </row>
    <row r="613" spans="1:86">
      <c r="A613" s="33">
        <v>45943</v>
      </c>
      <c r="B613" s="1"/>
      <c r="C613" s="1" t="s">
        <v>809</v>
      </c>
      <c r="D613" s="1"/>
      <c r="E613" s="38" t="s">
        <v>41</v>
      </c>
      <c r="F613" s="38">
        <v>120</v>
      </c>
      <c r="G613" s="38" t="s">
        <v>590</v>
      </c>
      <c r="H613" s="38">
        <v>125</v>
      </c>
      <c r="I613" s="38">
        <v>1106</v>
      </c>
      <c r="J613" s="11">
        <f t="shared" si="183"/>
        <v>1106</v>
      </c>
      <c r="K613" s="5">
        <f t="shared" si="184"/>
        <v>7373.3333333333321</v>
      </c>
      <c r="L613" s="39">
        <v>1</v>
      </c>
      <c r="M613" s="37">
        <f t="shared" si="180"/>
        <v>1</v>
      </c>
      <c r="N613" s="38"/>
      <c r="O613" s="46"/>
      <c r="P613" s="42"/>
      <c r="Q613" s="38"/>
      <c r="R613" s="38"/>
      <c r="S613" s="38"/>
      <c r="T613" s="38"/>
      <c r="U613" s="37">
        <f t="shared" si="181"/>
        <v>1</v>
      </c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43"/>
      <c r="AH613" s="44"/>
      <c r="AI613" s="45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  <c r="BW613" s="38"/>
      <c r="BX613" s="38"/>
      <c r="BY613" s="38"/>
      <c r="BZ613" s="38"/>
      <c r="CA613" s="38"/>
      <c r="CB613" s="38"/>
      <c r="CC613" s="38"/>
      <c r="CD613" s="38"/>
      <c r="CE613" s="38"/>
      <c r="CF613" s="38"/>
      <c r="CG613" s="38"/>
      <c r="CH613" s="38"/>
    </row>
    <row r="614" spans="1:86">
      <c r="A614" s="33">
        <v>45944</v>
      </c>
      <c r="B614" s="1" t="s">
        <v>825</v>
      </c>
      <c r="C614" s="1" t="s">
        <v>825</v>
      </c>
      <c r="D614" s="1"/>
      <c r="E614" s="38" t="s">
        <v>50</v>
      </c>
      <c r="F614" s="38">
        <v>110</v>
      </c>
      <c r="G614" s="38" t="s">
        <v>590</v>
      </c>
      <c r="H614" s="38">
        <v>68</v>
      </c>
      <c r="I614" s="38">
        <v>741</v>
      </c>
      <c r="J614" s="11">
        <f t="shared" si="183"/>
        <v>741</v>
      </c>
      <c r="K614" s="5">
        <f t="shared" si="184"/>
        <v>9906.4171122994649</v>
      </c>
      <c r="L614" s="39">
        <v>1</v>
      </c>
      <c r="M614" s="37">
        <f t="shared" si="180"/>
        <v>1</v>
      </c>
      <c r="N614" s="38"/>
      <c r="O614" s="46"/>
      <c r="P614" s="42"/>
      <c r="Q614" s="38"/>
      <c r="R614" s="38"/>
      <c r="S614" s="38"/>
      <c r="T614" s="38"/>
      <c r="U614" s="37">
        <f t="shared" si="181"/>
        <v>1</v>
      </c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43"/>
      <c r="AH614" s="44"/>
      <c r="AI614" s="45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  <c r="CH614" s="38"/>
    </row>
    <row r="615" spans="1:86">
      <c r="A615" s="33">
        <v>45944</v>
      </c>
      <c r="B615" s="1" t="s">
        <v>825</v>
      </c>
      <c r="C615" s="1" t="s">
        <v>825</v>
      </c>
      <c r="D615" s="1"/>
      <c r="E615" s="38" t="s">
        <v>50</v>
      </c>
      <c r="F615" s="38">
        <v>110</v>
      </c>
      <c r="G615" s="38" t="s">
        <v>590</v>
      </c>
      <c r="H615" s="38">
        <v>68</v>
      </c>
      <c r="I615" s="38">
        <v>721</v>
      </c>
      <c r="J615" s="11">
        <f t="shared" si="183"/>
        <v>721</v>
      </c>
      <c r="K615" s="5">
        <f t="shared" si="184"/>
        <v>9639.0374331550793</v>
      </c>
      <c r="L615" s="39">
        <v>1</v>
      </c>
      <c r="M615" s="37">
        <f t="shared" si="180"/>
        <v>1</v>
      </c>
      <c r="N615" s="38"/>
      <c r="O615" s="46"/>
      <c r="P615" s="42"/>
      <c r="Q615" s="38"/>
      <c r="R615" s="38"/>
      <c r="S615" s="38"/>
      <c r="T615" s="38"/>
      <c r="U615" s="37">
        <f t="shared" si="181"/>
        <v>1</v>
      </c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43"/>
      <c r="AH615" s="44"/>
      <c r="AI615" s="45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  <c r="BW615" s="38"/>
      <c r="BX615" s="38"/>
      <c r="BY615" s="38"/>
      <c r="BZ615" s="38"/>
      <c r="CA615" s="38"/>
      <c r="CB615" s="38"/>
      <c r="CC615" s="38"/>
      <c r="CD615" s="38"/>
      <c r="CE615" s="38"/>
      <c r="CF615" s="38"/>
      <c r="CG615" s="38"/>
      <c r="CH615" s="38"/>
    </row>
    <row r="616" spans="1:86">
      <c r="A616" s="33">
        <v>45944</v>
      </c>
      <c r="B616" s="1" t="s">
        <v>825</v>
      </c>
      <c r="C616" s="1" t="s">
        <v>825</v>
      </c>
      <c r="D616" s="1"/>
      <c r="E616" s="38" t="s">
        <v>50</v>
      </c>
      <c r="F616" s="38">
        <v>110</v>
      </c>
      <c r="G616" s="38" t="s">
        <v>590</v>
      </c>
      <c r="H616" s="38">
        <v>68</v>
      </c>
      <c r="I616" s="38">
        <v>719</v>
      </c>
      <c r="J616" s="11">
        <f t="shared" si="183"/>
        <v>719</v>
      </c>
      <c r="K616" s="5">
        <f t="shared" si="184"/>
        <v>9612.2994652406414</v>
      </c>
      <c r="L616" s="39">
        <v>1</v>
      </c>
      <c r="M616" s="37">
        <f t="shared" si="180"/>
        <v>1</v>
      </c>
      <c r="N616" s="38"/>
      <c r="O616" s="46"/>
      <c r="P616" s="42"/>
      <c r="Q616" s="38"/>
      <c r="R616" s="38"/>
      <c r="S616" s="38"/>
      <c r="T616" s="38"/>
      <c r="U616" s="37">
        <f t="shared" si="181"/>
        <v>1</v>
      </c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43"/>
      <c r="AH616" s="44"/>
      <c r="AI616" s="45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  <c r="BW616" s="38"/>
      <c r="BX616" s="38"/>
      <c r="BY616" s="38"/>
      <c r="BZ616" s="38"/>
      <c r="CA616" s="38"/>
      <c r="CB616" s="38"/>
      <c r="CC616" s="38"/>
      <c r="CD616" s="38"/>
      <c r="CE616" s="38"/>
      <c r="CF616" s="38"/>
      <c r="CG616" s="38"/>
      <c r="CH616" s="38"/>
    </row>
    <row r="617" spans="1:86">
      <c r="A617" s="33">
        <v>45944</v>
      </c>
      <c r="B617" s="1" t="s">
        <v>825</v>
      </c>
      <c r="C617" s="1" t="s">
        <v>825</v>
      </c>
      <c r="D617" s="1"/>
      <c r="E617" s="38" t="s">
        <v>50</v>
      </c>
      <c r="F617" s="38">
        <v>110</v>
      </c>
      <c r="G617" s="38" t="s">
        <v>590</v>
      </c>
      <c r="H617" s="38">
        <v>68</v>
      </c>
      <c r="I617" s="38">
        <v>722</v>
      </c>
      <c r="J617" s="11">
        <f t="shared" si="183"/>
        <v>722</v>
      </c>
      <c r="K617" s="5">
        <f t="shared" si="184"/>
        <v>9652.4064171122991</v>
      </c>
      <c r="L617" s="39">
        <v>1</v>
      </c>
      <c r="M617" s="37">
        <f t="shared" si="180"/>
        <v>1</v>
      </c>
      <c r="N617" s="38"/>
      <c r="O617" s="46"/>
      <c r="P617" s="42"/>
      <c r="Q617" s="38"/>
      <c r="R617" s="38"/>
      <c r="S617" s="38"/>
      <c r="T617" s="38"/>
      <c r="U617" s="37">
        <f t="shared" si="181"/>
        <v>1</v>
      </c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43"/>
      <c r="AH617" s="44"/>
      <c r="AI617" s="45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  <c r="BW617" s="38"/>
      <c r="BX617" s="38"/>
      <c r="BY617" s="38"/>
      <c r="BZ617" s="38"/>
      <c r="CA617" s="38"/>
      <c r="CB617" s="38"/>
      <c r="CC617" s="38"/>
      <c r="CD617" s="38"/>
      <c r="CE617" s="38"/>
      <c r="CF617" s="38"/>
      <c r="CG617" s="38"/>
      <c r="CH617" s="38"/>
    </row>
    <row r="618" spans="1:86">
      <c r="A618" s="33">
        <v>45944</v>
      </c>
      <c r="B618" s="1" t="s">
        <v>825</v>
      </c>
      <c r="C618" s="1" t="s">
        <v>825</v>
      </c>
      <c r="D618" s="1"/>
      <c r="E618" s="38" t="s">
        <v>50</v>
      </c>
      <c r="F618" s="38">
        <v>110</v>
      </c>
      <c r="G618" s="38" t="s">
        <v>590</v>
      </c>
      <c r="H618" s="38">
        <v>68</v>
      </c>
      <c r="I618" s="38">
        <v>728</v>
      </c>
      <c r="J618" s="11">
        <f t="shared" si="183"/>
        <v>728</v>
      </c>
      <c r="K618" s="5">
        <f t="shared" si="184"/>
        <v>9732.6203208556144</v>
      </c>
      <c r="L618" s="39">
        <v>1</v>
      </c>
      <c r="M618" s="37">
        <f t="shared" si="180"/>
        <v>1</v>
      </c>
      <c r="N618" s="38"/>
      <c r="O618" s="46"/>
      <c r="P618" s="42"/>
      <c r="Q618" s="38"/>
      <c r="R618" s="38"/>
      <c r="S618" s="38"/>
      <c r="T618" s="38"/>
      <c r="U618" s="37">
        <f t="shared" si="181"/>
        <v>1</v>
      </c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43"/>
      <c r="AH618" s="44"/>
      <c r="AI618" s="45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  <c r="BW618" s="38"/>
      <c r="BX618" s="38"/>
      <c r="BY618" s="38"/>
      <c r="BZ618" s="38"/>
      <c r="CA618" s="38"/>
      <c r="CB618" s="38"/>
      <c r="CC618" s="38"/>
      <c r="CD618" s="38"/>
      <c r="CE618" s="38"/>
      <c r="CF618" s="38"/>
      <c r="CG618" s="38"/>
      <c r="CH618" s="38"/>
    </row>
    <row r="619" spans="1:86">
      <c r="A619" s="33">
        <v>45944</v>
      </c>
      <c r="B619" s="1" t="s">
        <v>825</v>
      </c>
      <c r="C619" s="1" t="s">
        <v>825</v>
      </c>
      <c r="D619" s="1"/>
      <c r="E619" s="38" t="s">
        <v>50</v>
      </c>
      <c r="F619" s="38">
        <v>110</v>
      </c>
      <c r="G619" s="38" t="s">
        <v>590</v>
      </c>
      <c r="H619" s="38">
        <v>68</v>
      </c>
      <c r="I619" s="38">
        <v>703</v>
      </c>
      <c r="J619" s="11">
        <f t="shared" si="183"/>
        <v>703</v>
      </c>
      <c r="K619" s="5">
        <f t="shared" si="184"/>
        <v>9398.3957219251333</v>
      </c>
      <c r="L619" s="39">
        <v>1</v>
      </c>
      <c r="M619" s="37">
        <f t="shared" si="180"/>
        <v>1</v>
      </c>
      <c r="N619" s="38"/>
      <c r="O619" s="46"/>
      <c r="P619" s="42"/>
      <c r="Q619" s="38"/>
      <c r="R619" s="38"/>
      <c r="S619" s="38"/>
      <c r="T619" s="38"/>
      <c r="U619" s="37">
        <f t="shared" si="181"/>
        <v>1</v>
      </c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43"/>
      <c r="AH619" s="44"/>
      <c r="AI619" s="45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  <c r="BS619" s="38"/>
      <c r="BT619" s="38"/>
      <c r="BU619" s="38"/>
      <c r="BV619" s="38"/>
      <c r="BW619" s="38"/>
      <c r="BX619" s="38"/>
      <c r="BY619" s="38"/>
      <c r="BZ619" s="38"/>
      <c r="CA619" s="38"/>
      <c r="CB619" s="38"/>
      <c r="CC619" s="38"/>
      <c r="CD619" s="38"/>
      <c r="CE619" s="38"/>
      <c r="CF619" s="38"/>
      <c r="CG619" s="38"/>
      <c r="CH619" s="38"/>
    </row>
    <row r="620" spans="1:86">
      <c r="A620" s="33">
        <v>45944</v>
      </c>
      <c r="B620" s="1" t="s">
        <v>825</v>
      </c>
      <c r="C620" s="1" t="s">
        <v>825</v>
      </c>
      <c r="D620" s="1"/>
      <c r="E620" s="38" t="s">
        <v>50</v>
      </c>
      <c r="F620" s="38">
        <v>110</v>
      </c>
      <c r="G620" s="38" t="s">
        <v>590</v>
      </c>
      <c r="H620" s="38">
        <v>68</v>
      </c>
      <c r="I620" s="38">
        <v>719</v>
      </c>
      <c r="J620" s="11">
        <f t="shared" si="183"/>
        <v>719</v>
      </c>
      <c r="K620" s="5">
        <f t="shared" si="184"/>
        <v>9612.2994652406414</v>
      </c>
      <c r="L620" s="39">
        <v>1</v>
      </c>
      <c r="M620" s="37">
        <f t="shared" si="180"/>
        <v>1</v>
      </c>
      <c r="N620" s="38"/>
      <c r="O620" s="46"/>
      <c r="P620" s="42"/>
      <c r="Q620" s="38"/>
      <c r="R620" s="38"/>
      <c r="S620" s="38"/>
      <c r="T620" s="38"/>
      <c r="U620" s="37">
        <f t="shared" si="181"/>
        <v>1</v>
      </c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43"/>
      <c r="AH620" s="44"/>
      <c r="AI620" s="45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  <c r="BW620" s="38"/>
      <c r="BX620" s="38"/>
      <c r="BY620" s="38"/>
      <c r="BZ620" s="38"/>
      <c r="CA620" s="38"/>
      <c r="CB620" s="38"/>
      <c r="CC620" s="38"/>
      <c r="CD620" s="38"/>
      <c r="CE620" s="38"/>
      <c r="CF620" s="38"/>
      <c r="CG620" s="38"/>
      <c r="CH620" s="38"/>
    </row>
    <row r="621" spans="1:86">
      <c r="A621" s="33">
        <v>45944</v>
      </c>
      <c r="B621" s="1" t="s">
        <v>825</v>
      </c>
      <c r="C621" s="1" t="s">
        <v>825</v>
      </c>
      <c r="D621" s="1"/>
      <c r="E621" s="38" t="s">
        <v>50</v>
      </c>
      <c r="F621" s="38">
        <v>110</v>
      </c>
      <c r="G621" s="38" t="s">
        <v>590</v>
      </c>
      <c r="H621" s="38">
        <v>68</v>
      </c>
      <c r="I621" s="38">
        <v>717</v>
      </c>
      <c r="J621" s="11">
        <f t="shared" si="183"/>
        <v>717</v>
      </c>
      <c r="K621" s="5">
        <f t="shared" si="184"/>
        <v>9585.5614973262018</v>
      </c>
      <c r="L621" s="39">
        <v>1</v>
      </c>
      <c r="M621" s="37">
        <f t="shared" si="180"/>
        <v>1</v>
      </c>
      <c r="N621" s="38"/>
      <c r="O621" s="46"/>
      <c r="P621" s="42"/>
      <c r="Q621" s="38"/>
      <c r="R621" s="38"/>
      <c r="S621" s="38"/>
      <c r="T621" s="38"/>
      <c r="U621" s="37">
        <f t="shared" si="181"/>
        <v>1</v>
      </c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43"/>
      <c r="AH621" s="44"/>
      <c r="AI621" s="45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  <c r="BW621" s="38"/>
      <c r="BX621" s="38"/>
      <c r="BY621" s="38"/>
      <c r="BZ621" s="38"/>
      <c r="CA621" s="38"/>
      <c r="CB621" s="38"/>
      <c r="CC621" s="38"/>
      <c r="CD621" s="38"/>
      <c r="CE621" s="38"/>
      <c r="CF621" s="38"/>
      <c r="CG621" s="38"/>
      <c r="CH621" s="38"/>
    </row>
    <row r="622" spans="1:86">
      <c r="A622" s="33">
        <v>45944</v>
      </c>
      <c r="B622" s="1" t="s">
        <v>825</v>
      </c>
      <c r="C622" s="1" t="s">
        <v>825</v>
      </c>
      <c r="D622" s="1"/>
      <c r="E622" s="38" t="s">
        <v>50</v>
      </c>
      <c r="F622" s="38">
        <v>110</v>
      </c>
      <c r="G622" s="38" t="s">
        <v>590</v>
      </c>
      <c r="H622" s="38">
        <v>68</v>
      </c>
      <c r="I622" s="38">
        <v>719</v>
      </c>
      <c r="J622" s="11">
        <f t="shared" si="183"/>
        <v>719</v>
      </c>
      <c r="K622" s="5">
        <f t="shared" si="184"/>
        <v>9612.2994652406414</v>
      </c>
      <c r="L622" s="39">
        <v>1</v>
      </c>
      <c r="M622" s="37">
        <f t="shared" si="180"/>
        <v>1</v>
      </c>
      <c r="N622" s="38"/>
      <c r="O622" s="46"/>
      <c r="P622" s="42"/>
      <c r="Q622" s="38"/>
      <c r="R622" s="38"/>
      <c r="S622" s="38"/>
      <c r="T622" s="38"/>
      <c r="U622" s="37">
        <f t="shared" si="181"/>
        <v>1</v>
      </c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43"/>
      <c r="AH622" s="44"/>
      <c r="AI622" s="45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  <c r="BW622" s="38"/>
      <c r="BX622" s="38"/>
      <c r="BY622" s="38"/>
      <c r="BZ622" s="38"/>
      <c r="CA622" s="38"/>
      <c r="CB622" s="38"/>
      <c r="CC622" s="38"/>
      <c r="CD622" s="38"/>
      <c r="CE622" s="38"/>
      <c r="CF622" s="38"/>
      <c r="CG622" s="38"/>
      <c r="CH622" s="38"/>
    </row>
    <row r="623" spans="1:86">
      <c r="A623" s="33">
        <v>45944</v>
      </c>
      <c r="B623" s="1" t="s">
        <v>825</v>
      </c>
      <c r="C623" s="1" t="s">
        <v>825</v>
      </c>
      <c r="D623" s="1"/>
      <c r="E623" s="38" t="s">
        <v>50</v>
      </c>
      <c r="F623" s="38">
        <v>110</v>
      </c>
      <c r="G623" s="38" t="s">
        <v>590</v>
      </c>
      <c r="H623" s="38">
        <v>68</v>
      </c>
      <c r="I623" s="38">
        <v>715</v>
      </c>
      <c r="J623" s="11">
        <f t="shared" si="183"/>
        <v>715</v>
      </c>
      <c r="K623" s="5">
        <f t="shared" si="184"/>
        <v>9558.823529411764</v>
      </c>
      <c r="L623" s="39">
        <v>1</v>
      </c>
      <c r="M623" s="37">
        <f t="shared" si="180"/>
        <v>1</v>
      </c>
      <c r="N623" s="38"/>
      <c r="O623" s="46"/>
      <c r="P623" s="42"/>
      <c r="Q623" s="38"/>
      <c r="R623" s="38"/>
      <c r="S623" s="38"/>
      <c r="T623" s="38"/>
      <c r="U623" s="37">
        <f t="shared" si="181"/>
        <v>1</v>
      </c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43"/>
      <c r="AH623" s="44"/>
      <c r="AI623" s="45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  <c r="BW623" s="38"/>
      <c r="BX623" s="38"/>
      <c r="BY623" s="38"/>
      <c r="BZ623" s="38"/>
      <c r="CA623" s="38"/>
      <c r="CB623" s="38"/>
      <c r="CC623" s="38"/>
      <c r="CD623" s="38"/>
      <c r="CE623" s="38"/>
      <c r="CF623" s="38"/>
      <c r="CG623" s="38"/>
      <c r="CH623" s="38"/>
    </row>
    <row r="624" spans="1:86">
      <c r="A624" s="33">
        <v>45944</v>
      </c>
      <c r="B624" s="1" t="s">
        <v>832</v>
      </c>
      <c r="C624" s="1" t="s">
        <v>832</v>
      </c>
      <c r="D624" s="1"/>
      <c r="E624" s="38" t="s">
        <v>50</v>
      </c>
      <c r="F624" s="38">
        <v>110</v>
      </c>
      <c r="G624" s="38" t="s">
        <v>590</v>
      </c>
      <c r="H624" s="38">
        <v>126</v>
      </c>
      <c r="I624" s="38">
        <v>1248</v>
      </c>
      <c r="J624" s="11">
        <f t="shared" si="183"/>
        <v>1248</v>
      </c>
      <c r="K624" s="5">
        <f t="shared" si="184"/>
        <v>9004.3290043290035</v>
      </c>
      <c r="L624" s="39">
        <v>1</v>
      </c>
      <c r="M624" s="37">
        <f t="shared" si="180"/>
        <v>1</v>
      </c>
      <c r="N624" s="38"/>
      <c r="O624" s="46"/>
      <c r="P624" s="42"/>
      <c r="Q624" s="38"/>
      <c r="R624" s="38"/>
      <c r="S624" s="38"/>
      <c r="T624" s="38"/>
      <c r="U624" s="37">
        <f t="shared" si="181"/>
        <v>1</v>
      </c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43"/>
      <c r="AH624" s="44"/>
      <c r="AI624" s="45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  <c r="BW624" s="38"/>
      <c r="BX624" s="38"/>
      <c r="BY624" s="38"/>
      <c r="BZ624" s="38"/>
      <c r="CA624" s="38"/>
      <c r="CB624" s="38"/>
      <c r="CC624" s="38"/>
      <c r="CD624" s="38"/>
      <c r="CE624" s="38"/>
      <c r="CF624" s="38"/>
      <c r="CG624" s="38"/>
      <c r="CH624" s="38"/>
    </row>
    <row r="625" spans="1:86">
      <c r="A625" s="33">
        <v>45944</v>
      </c>
      <c r="B625" s="1" t="s">
        <v>832</v>
      </c>
      <c r="C625" s="1" t="s">
        <v>832</v>
      </c>
      <c r="D625" s="1"/>
      <c r="E625" s="38" t="s">
        <v>50</v>
      </c>
      <c r="F625" s="38">
        <v>110</v>
      </c>
      <c r="G625" s="38" t="s">
        <v>590</v>
      </c>
      <c r="H625" s="38">
        <v>126</v>
      </c>
      <c r="I625" s="38">
        <v>1237</v>
      </c>
      <c r="J625" s="11">
        <f t="shared" si="183"/>
        <v>1237</v>
      </c>
      <c r="K625" s="5">
        <f t="shared" si="184"/>
        <v>8924.963924963924</v>
      </c>
      <c r="L625" s="39">
        <v>1</v>
      </c>
      <c r="M625" s="37">
        <f t="shared" si="180"/>
        <v>1</v>
      </c>
      <c r="N625" s="38"/>
      <c r="O625" s="46"/>
      <c r="P625" s="42"/>
      <c r="Q625" s="38"/>
      <c r="R625" s="38"/>
      <c r="S625" s="38"/>
      <c r="T625" s="38"/>
      <c r="U625" s="37">
        <f t="shared" si="181"/>
        <v>1</v>
      </c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43"/>
      <c r="AH625" s="44"/>
      <c r="AI625" s="45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  <c r="BW625" s="38"/>
      <c r="BX625" s="38"/>
      <c r="BY625" s="38"/>
      <c r="BZ625" s="38"/>
      <c r="CA625" s="38"/>
      <c r="CB625" s="38"/>
      <c r="CC625" s="38"/>
      <c r="CD625" s="38"/>
      <c r="CE625" s="38"/>
      <c r="CF625" s="38"/>
      <c r="CG625" s="38"/>
      <c r="CH625" s="38"/>
    </row>
    <row r="626" spans="1:86">
      <c r="A626" s="33">
        <v>45944</v>
      </c>
      <c r="B626" s="1" t="s">
        <v>832</v>
      </c>
      <c r="C626" s="1" t="s">
        <v>832</v>
      </c>
      <c r="D626" s="1"/>
      <c r="E626" s="38" t="s">
        <v>50</v>
      </c>
      <c r="F626" s="38">
        <v>110</v>
      </c>
      <c r="G626" s="38" t="s">
        <v>590</v>
      </c>
      <c r="H626" s="38">
        <v>126</v>
      </c>
      <c r="I626" s="38">
        <v>1242</v>
      </c>
      <c r="J626" s="11">
        <f t="shared" si="183"/>
        <v>1242</v>
      </c>
      <c r="K626" s="5">
        <f t="shared" si="184"/>
        <v>8961.0389610389611</v>
      </c>
      <c r="L626" s="39">
        <v>1</v>
      </c>
      <c r="M626" s="37">
        <f t="shared" si="180"/>
        <v>1</v>
      </c>
      <c r="N626" s="38"/>
      <c r="O626" s="46"/>
      <c r="P626" s="42"/>
      <c r="Q626" s="38"/>
      <c r="R626" s="38"/>
      <c r="S626" s="38"/>
      <c r="T626" s="38"/>
      <c r="U626" s="37">
        <f t="shared" si="181"/>
        <v>1</v>
      </c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43"/>
      <c r="AH626" s="44"/>
      <c r="AI626" s="45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  <c r="BW626" s="38"/>
      <c r="BX626" s="38"/>
      <c r="BY626" s="38"/>
      <c r="BZ626" s="38"/>
      <c r="CA626" s="38"/>
      <c r="CB626" s="38"/>
      <c r="CC626" s="38"/>
      <c r="CD626" s="38"/>
      <c r="CE626" s="38"/>
      <c r="CF626" s="38"/>
      <c r="CG626" s="38"/>
      <c r="CH626" s="38"/>
    </row>
    <row r="627" spans="1:86">
      <c r="A627" s="33">
        <v>45944</v>
      </c>
      <c r="B627" s="1" t="s">
        <v>832</v>
      </c>
      <c r="C627" s="1" t="s">
        <v>832</v>
      </c>
      <c r="D627" s="1"/>
      <c r="E627" s="38" t="s">
        <v>50</v>
      </c>
      <c r="F627" s="38">
        <v>110</v>
      </c>
      <c r="G627" s="38" t="s">
        <v>590</v>
      </c>
      <c r="H627" s="38">
        <v>126</v>
      </c>
      <c r="I627" s="38">
        <v>1233</v>
      </c>
      <c r="J627" s="11">
        <f t="shared" si="183"/>
        <v>1233</v>
      </c>
      <c r="K627" s="5">
        <f t="shared" si="184"/>
        <v>8896.1038961038957</v>
      </c>
      <c r="L627" s="39">
        <v>1</v>
      </c>
      <c r="M627" s="37">
        <f t="shared" ref="M627:M690" si="185">+L627-X627-Z627-AD627-AB627-AF627-AH627-AJ627-AL627-AO627-AQ627-AS627-AU627-AW627-AY627-BA627-BC627-BE627-BG627-BI627-BK627-BM627-BO627-BQ627-BS627-BU627-BW627-BY627-CA627-CC627-CE627-CG627</f>
        <v>1</v>
      </c>
      <c r="N627" s="38"/>
      <c r="O627" s="46"/>
      <c r="P627" s="42"/>
      <c r="Q627" s="38"/>
      <c r="R627" s="38"/>
      <c r="S627" s="38"/>
      <c r="T627" s="38"/>
      <c r="U627" s="37">
        <f t="shared" ref="U627:U690" si="186">+L627-X627-Z627-AD627-AB627-AF627-AH627-AJ627-AL627-AO627-AQ627-AS627-AU627-AW627-AY627-BA627-BC627-BE627-BG627-BI627-BK627-BM627-BO627-BQ627-BS627-BU627-BW627-BY627-CA627-CC627-CE627-CG627</f>
        <v>1</v>
      </c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43"/>
      <c r="AH627" s="44"/>
      <c r="AI627" s="45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  <c r="BS627" s="38"/>
      <c r="BT627" s="38"/>
      <c r="BU627" s="38"/>
      <c r="BV627" s="38"/>
      <c r="BW627" s="38"/>
      <c r="BX627" s="38"/>
      <c r="BY627" s="38"/>
      <c r="BZ627" s="38"/>
      <c r="CA627" s="38"/>
      <c r="CB627" s="38"/>
      <c r="CC627" s="38"/>
      <c r="CD627" s="38"/>
      <c r="CE627" s="38"/>
      <c r="CF627" s="38"/>
      <c r="CG627" s="38"/>
      <c r="CH627" s="38"/>
    </row>
    <row r="628" spans="1:86">
      <c r="A628" s="33">
        <v>45944</v>
      </c>
      <c r="B628" s="1" t="s">
        <v>832</v>
      </c>
      <c r="C628" s="1" t="s">
        <v>832</v>
      </c>
      <c r="D628" s="1"/>
      <c r="E628" s="38" t="s">
        <v>50</v>
      </c>
      <c r="F628" s="38">
        <v>110</v>
      </c>
      <c r="G628" s="38" t="s">
        <v>590</v>
      </c>
      <c r="H628" s="38">
        <v>126</v>
      </c>
      <c r="I628" s="38">
        <v>1241</v>
      </c>
      <c r="J628" s="11">
        <f t="shared" si="183"/>
        <v>1241</v>
      </c>
      <c r="K628" s="5">
        <f t="shared" si="184"/>
        <v>8953.8239538239541</v>
      </c>
      <c r="L628" s="39">
        <v>1</v>
      </c>
      <c r="M628" s="37">
        <f t="shared" si="185"/>
        <v>1</v>
      </c>
      <c r="N628" s="38"/>
      <c r="O628" s="46"/>
      <c r="P628" s="42"/>
      <c r="Q628" s="38"/>
      <c r="R628" s="38"/>
      <c r="S628" s="38"/>
      <c r="T628" s="38"/>
      <c r="U628" s="37">
        <f t="shared" si="186"/>
        <v>1</v>
      </c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43"/>
      <c r="AH628" s="44"/>
      <c r="AI628" s="45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  <c r="BS628" s="38"/>
      <c r="BT628" s="38"/>
      <c r="BU628" s="38"/>
      <c r="BV628" s="38"/>
      <c r="BW628" s="38"/>
      <c r="BX628" s="38"/>
      <c r="BY628" s="38"/>
      <c r="BZ628" s="38"/>
      <c r="CA628" s="38"/>
      <c r="CB628" s="38"/>
      <c r="CC628" s="38"/>
      <c r="CD628" s="38"/>
      <c r="CE628" s="38"/>
      <c r="CF628" s="38"/>
      <c r="CG628" s="38"/>
      <c r="CH628" s="38"/>
    </row>
    <row r="629" spans="1:86">
      <c r="A629" s="33">
        <v>45944</v>
      </c>
      <c r="B629" s="1" t="s">
        <v>832</v>
      </c>
      <c r="C629" s="1" t="s">
        <v>832</v>
      </c>
      <c r="D629" s="1"/>
      <c r="E629" s="38" t="s">
        <v>50</v>
      </c>
      <c r="F629" s="38">
        <v>110</v>
      </c>
      <c r="G629" s="38" t="s">
        <v>590</v>
      </c>
      <c r="H629" s="38">
        <v>126</v>
      </c>
      <c r="I629" s="38">
        <v>1247</v>
      </c>
      <c r="J629" s="11">
        <f t="shared" si="183"/>
        <v>1247</v>
      </c>
      <c r="K629" s="5">
        <f t="shared" si="184"/>
        <v>8997.1139971139964</v>
      </c>
      <c r="L629" s="39">
        <v>1</v>
      </c>
      <c r="M629" s="37">
        <f t="shared" si="185"/>
        <v>1</v>
      </c>
      <c r="N629" s="38"/>
      <c r="O629" s="46"/>
      <c r="P629" s="42"/>
      <c r="Q629" s="38"/>
      <c r="R629" s="38"/>
      <c r="S629" s="38"/>
      <c r="T629" s="38"/>
      <c r="U629" s="37">
        <f t="shared" si="186"/>
        <v>1</v>
      </c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43"/>
      <c r="AH629" s="44"/>
      <c r="AI629" s="45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  <c r="BS629" s="38"/>
      <c r="BT629" s="38"/>
      <c r="BU629" s="38"/>
      <c r="BV629" s="38"/>
      <c r="BW629" s="38"/>
      <c r="BX629" s="38"/>
      <c r="BY629" s="38"/>
      <c r="BZ629" s="38"/>
      <c r="CA629" s="38"/>
      <c r="CB629" s="38"/>
      <c r="CC629" s="38"/>
      <c r="CD629" s="38"/>
      <c r="CE629" s="38"/>
      <c r="CF629" s="38"/>
      <c r="CG629" s="38"/>
      <c r="CH629" s="38"/>
    </row>
    <row r="630" spans="1:86">
      <c r="A630" s="33">
        <v>45944</v>
      </c>
      <c r="B630" s="1" t="s">
        <v>832</v>
      </c>
      <c r="C630" s="1" t="s">
        <v>832</v>
      </c>
      <c r="D630" s="1"/>
      <c r="E630" s="38" t="s">
        <v>50</v>
      </c>
      <c r="F630" s="38">
        <v>110</v>
      </c>
      <c r="G630" s="38" t="s">
        <v>590</v>
      </c>
      <c r="H630" s="38">
        <v>126</v>
      </c>
      <c r="I630" s="38">
        <v>1238</v>
      </c>
      <c r="J630" s="11">
        <f t="shared" si="183"/>
        <v>1238</v>
      </c>
      <c r="K630" s="5">
        <f t="shared" si="184"/>
        <v>8932.1789321789329</v>
      </c>
      <c r="L630" s="39">
        <v>1</v>
      </c>
      <c r="M630" s="37">
        <f t="shared" si="185"/>
        <v>1</v>
      </c>
      <c r="N630" s="38"/>
      <c r="O630" s="46"/>
      <c r="P630" s="42"/>
      <c r="Q630" s="38"/>
      <c r="R630" s="38"/>
      <c r="S630" s="38"/>
      <c r="T630" s="38"/>
      <c r="U630" s="37">
        <f t="shared" si="186"/>
        <v>1</v>
      </c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43"/>
      <c r="AH630" s="44"/>
      <c r="AI630" s="45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  <c r="BS630" s="38"/>
      <c r="BT630" s="38"/>
      <c r="BU630" s="38"/>
      <c r="BV630" s="38"/>
      <c r="BW630" s="38"/>
      <c r="BX630" s="38"/>
      <c r="BY630" s="38"/>
      <c r="BZ630" s="38"/>
      <c r="CA630" s="38"/>
      <c r="CB630" s="38"/>
      <c r="CC630" s="38"/>
      <c r="CD630" s="38"/>
      <c r="CE630" s="38"/>
      <c r="CF630" s="38"/>
      <c r="CG630" s="38"/>
      <c r="CH630" s="38"/>
    </row>
    <row r="631" spans="1:86">
      <c r="A631" s="33">
        <v>45944</v>
      </c>
      <c r="B631" s="1" t="s">
        <v>832</v>
      </c>
      <c r="C631" s="1" t="s">
        <v>832</v>
      </c>
      <c r="D631" s="1"/>
      <c r="E631" s="38" t="s">
        <v>50</v>
      </c>
      <c r="F631" s="38">
        <v>110</v>
      </c>
      <c r="G631" s="38" t="s">
        <v>590</v>
      </c>
      <c r="H631" s="38">
        <v>126</v>
      </c>
      <c r="I631" s="38">
        <v>1251</v>
      </c>
      <c r="J631" s="11">
        <f t="shared" si="183"/>
        <v>1251</v>
      </c>
      <c r="K631" s="5">
        <f t="shared" si="184"/>
        <v>9025.9740259740265</v>
      </c>
      <c r="L631" s="39">
        <v>1</v>
      </c>
      <c r="M631" s="37">
        <f t="shared" si="185"/>
        <v>1</v>
      </c>
      <c r="N631" s="38"/>
      <c r="O631" s="46"/>
      <c r="P631" s="42"/>
      <c r="Q631" s="38"/>
      <c r="R631" s="38"/>
      <c r="S631" s="38"/>
      <c r="T631" s="38"/>
      <c r="U631" s="37">
        <f t="shared" si="186"/>
        <v>1</v>
      </c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43"/>
      <c r="AH631" s="44"/>
      <c r="AI631" s="45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  <c r="BS631" s="38"/>
      <c r="BT631" s="38"/>
      <c r="BU631" s="38"/>
      <c r="BV631" s="38"/>
      <c r="BW631" s="38"/>
      <c r="BX631" s="38"/>
      <c r="BY631" s="38"/>
      <c r="BZ631" s="38"/>
      <c r="CA631" s="38"/>
      <c r="CB631" s="38"/>
      <c r="CC631" s="38"/>
      <c r="CD631" s="38"/>
      <c r="CE631" s="38"/>
      <c r="CF631" s="38"/>
      <c r="CG631" s="38"/>
      <c r="CH631" s="38"/>
    </row>
    <row r="632" spans="1:86">
      <c r="A632" s="33">
        <v>45944</v>
      </c>
      <c r="B632" s="1" t="s">
        <v>817</v>
      </c>
      <c r="C632" s="1" t="s">
        <v>817</v>
      </c>
      <c r="D632" s="1"/>
      <c r="E632" s="38" t="s">
        <v>50</v>
      </c>
      <c r="F632" s="38">
        <v>110</v>
      </c>
      <c r="G632" s="38" t="s">
        <v>590</v>
      </c>
      <c r="H632" s="38">
        <v>155</v>
      </c>
      <c r="I632" s="38">
        <v>1614</v>
      </c>
      <c r="J632" s="11">
        <f t="shared" si="183"/>
        <v>1614</v>
      </c>
      <c r="K632" s="5">
        <f t="shared" si="184"/>
        <v>9466.2756598240467</v>
      </c>
      <c r="L632" s="39">
        <v>1</v>
      </c>
      <c r="M632" s="37">
        <f t="shared" si="185"/>
        <v>1</v>
      </c>
      <c r="N632" s="38"/>
      <c r="O632" s="46"/>
      <c r="P632" s="42"/>
      <c r="Q632" s="38"/>
      <c r="R632" s="38"/>
      <c r="S632" s="38"/>
      <c r="T632" s="38"/>
      <c r="U632" s="37">
        <f t="shared" si="186"/>
        <v>1</v>
      </c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43"/>
      <c r="AH632" s="44"/>
      <c r="AI632" s="45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  <c r="BS632" s="38"/>
      <c r="BT632" s="38"/>
      <c r="BU632" s="38"/>
      <c r="BV632" s="38"/>
      <c r="BW632" s="38"/>
      <c r="BX632" s="38"/>
      <c r="BY632" s="38"/>
      <c r="BZ632" s="38"/>
      <c r="CA632" s="38"/>
      <c r="CB632" s="38"/>
      <c r="CC632" s="38"/>
      <c r="CD632" s="38"/>
      <c r="CE632" s="38"/>
      <c r="CF632" s="38"/>
      <c r="CG632" s="38"/>
      <c r="CH632" s="38"/>
    </row>
    <row r="633" spans="1:86">
      <c r="A633" s="33">
        <v>45944</v>
      </c>
      <c r="B633" s="1" t="s">
        <v>817</v>
      </c>
      <c r="C633" s="1" t="s">
        <v>817</v>
      </c>
      <c r="D633" s="1"/>
      <c r="E633" s="38" t="s">
        <v>50</v>
      </c>
      <c r="F633" s="38">
        <v>110</v>
      </c>
      <c r="G633" s="38" t="s">
        <v>590</v>
      </c>
      <c r="H633" s="38">
        <v>155</v>
      </c>
      <c r="I633" s="38">
        <v>1605</v>
      </c>
      <c r="J633" s="11">
        <f t="shared" si="183"/>
        <v>1605</v>
      </c>
      <c r="K633" s="5">
        <f t="shared" si="184"/>
        <v>9413.4897360703799</v>
      </c>
      <c r="L633" s="39">
        <v>1</v>
      </c>
      <c r="M633" s="37">
        <f t="shared" si="185"/>
        <v>1</v>
      </c>
      <c r="N633" s="38"/>
      <c r="O633" s="46"/>
      <c r="P633" s="42"/>
      <c r="Q633" s="38"/>
      <c r="R633" s="38"/>
      <c r="S633" s="38"/>
      <c r="T633" s="38"/>
      <c r="U633" s="37">
        <f t="shared" si="186"/>
        <v>1</v>
      </c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43"/>
      <c r="AH633" s="44"/>
      <c r="AI633" s="45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  <c r="BS633" s="38"/>
      <c r="BT633" s="38"/>
      <c r="BU633" s="38"/>
      <c r="BV633" s="38"/>
      <c r="BW633" s="38"/>
      <c r="BX633" s="38"/>
      <c r="BY633" s="38"/>
      <c r="BZ633" s="38"/>
      <c r="CA633" s="38"/>
      <c r="CB633" s="38"/>
      <c r="CC633" s="38"/>
      <c r="CD633" s="38"/>
      <c r="CE633" s="38"/>
      <c r="CF633" s="38"/>
      <c r="CG633" s="38"/>
      <c r="CH633" s="38"/>
    </row>
    <row r="634" spans="1:86">
      <c r="A634" s="33">
        <v>45944</v>
      </c>
      <c r="B634" s="1" t="s">
        <v>821</v>
      </c>
      <c r="C634" s="1" t="s">
        <v>821</v>
      </c>
      <c r="D634" s="1"/>
      <c r="E634" s="38" t="s">
        <v>41</v>
      </c>
      <c r="F634" s="38">
        <v>100</v>
      </c>
      <c r="G634" s="38" t="s">
        <v>590</v>
      </c>
      <c r="H634" s="38">
        <v>97</v>
      </c>
      <c r="I634" s="38">
        <v>929</v>
      </c>
      <c r="J634" s="11">
        <f t="shared" si="183"/>
        <v>929</v>
      </c>
      <c r="K634" s="5">
        <f t="shared" si="184"/>
        <v>9577.3195876288664</v>
      </c>
      <c r="L634" s="39">
        <v>1</v>
      </c>
      <c r="M634" s="37">
        <f t="shared" si="185"/>
        <v>1</v>
      </c>
      <c r="N634" s="38"/>
      <c r="O634" s="46"/>
      <c r="P634" s="42"/>
      <c r="Q634" s="38"/>
      <c r="R634" s="38"/>
      <c r="S634" s="38"/>
      <c r="T634" s="38"/>
      <c r="U634" s="37">
        <f t="shared" si="186"/>
        <v>1</v>
      </c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43"/>
      <c r="AH634" s="44"/>
      <c r="AI634" s="45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  <c r="BS634" s="38"/>
      <c r="BT634" s="38"/>
      <c r="BU634" s="38"/>
      <c r="BV634" s="38"/>
      <c r="BW634" s="38"/>
      <c r="BX634" s="38"/>
      <c r="BY634" s="38"/>
      <c r="BZ634" s="38"/>
      <c r="CA634" s="38"/>
      <c r="CB634" s="38"/>
      <c r="CC634" s="38"/>
      <c r="CD634" s="38"/>
      <c r="CE634" s="38"/>
      <c r="CF634" s="38"/>
      <c r="CG634" s="38"/>
      <c r="CH634" s="38"/>
    </row>
    <row r="635" spans="1:86">
      <c r="A635" s="33">
        <v>45944</v>
      </c>
      <c r="B635" s="1" t="s">
        <v>821</v>
      </c>
      <c r="C635" s="1" t="s">
        <v>821</v>
      </c>
      <c r="D635" s="1"/>
      <c r="E635" s="38" t="s">
        <v>41</v>
      </c>
      <c r="F635" s="38">
        <v>100</v>
      </c>
      <c r="G635" s="38" t="s">
        <v>590</v>
      </c>
      <c r="H635" s="38">
        <v>97</v>
      </c>
      <c r="I635" s="38">
        <v>928</v>
      </c>
      <c r="J635" s="11">
        <f t="shared" si="183"/>
        <v>928</v>
      </c>
      <c r="K635" s="5">
        <f t="shared" si="184"/>
        <v>9567.0103092783502</v>
      </c>
      <c r="L635" s="39">
        <v>1</v>
      </c>
      <c r="M635" s="37">
        <f t="shared" si="185"/>
        <v>1</v>
      </c>
      <c r="N635" s="38"/>
      <c r="O635" s="46"/>
      <c r="P635" s="42"/>
      <c r="Q635" s="38"/>
      <c r="R635" s="38"/>
      <c r="S635" s="38"/>
      <c r="T635" s="38"/>
      <c r="U635" s="37">
        <f t="shared" si="186"/>
        <v>1</v>
      </c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43"/>
      <c r="AH635" s="44"/>
      <c r="AI635" s="45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  <c r="BS635" s="38"/>
      <c r="BT635" s="38"/>
      <c r="BU635" s="38"/>
      <c r="BV635" s="38"/>
      <c r="BW635" s="38"/>
      <c r="BX635" s="38"/>
      <c r="BY635" s="38"/>
      <c r="BZ635" s="38"/>
      <c r="CA635" s="38"/>
      <c r="CB635" s="38"/>
      <c r="CC635" s="38"/>
      <c r="CD635" s="38"/>
      <c r="CE635" s="38"/>
      <c r="CF635" s="38"/>
      <c r="CG635" s="38"/>
      <c r="CH635" s="38"/>
    </row>
    <row r="636" spans="1:86">
      <c r="A636" s="33">
        <v>45944</v>
      </c>
      <c r="B636" s="1" t="s">
        <v>821</v>
      </c>
      <c r="C636" s="1" t="s">
        <v>821</v>
      </c>
      <c r="D636" s="1"/>
      <c r="E636" s="38" t="s">
        <v>41</v>
      </c>
      <c r="F636" s="38">
        <v>100</v>
      </c>
      <c r="G636" s="38" t="s">
        <v>590</v>
      </c>
      <c r="H636" s="38">
        <v>97</v>
      </c>
      <c r="I636" s="38">
        <v>938</v>
      </c>
      <c r="J636" s="11">
        <f t="shared" si="183"/>
        <v>1876</v>
      </c>
      <c r="K636" s="5">
        <f t="shared" si="184"/>
        <v>19340.206185567011</v>
      </c>
      <c r="L636" s="39">
        <v>2</v>
      </c>
      <c r="M636" s="37">
        <f t="shared" si="185"/>
        <v>2</v>
      </c>
      <c r="N636" s="38"/>
      <c r="O636" s="46"/>
      <c r="P636" s="42"/>
      <c r="Q636" s="38"/>
      <c r="R636" s="38"/>
      <c r="S636" s="38"/>
      <c r="T636" s="38"/>
      <c r="U636" s="37">
        <f t="shared" si="186"/>
        <v>2</v>
      </c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43"/>
      <c r="AH636" s="44"/>
      <c r="AI636" s="45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  <c r="BS636" s="38"/>
      <c r="BT636" s="38"/>
      <c r="BU636" s="38"/>
      <c r="BV636" s="38"/>
      <c r="BW636" s="38"/>
      <c r="BX636" s="38"/>
      <c r="BY636" s="38"/>
      <c r="BZ636" s="38"/>
      <c r="CA636" s="38"/>
      <c r="CB636" s="38"/>
      <c r="CC636" s="38"/>
      <c r="CD636" s="38"/>
      <c r="CE636" s="38"/>
      <c r="CF636" s="38"/>
      <c r="CG636" s="38"/>
      <c r="CH636" s="38"/>
    </row>
    <row r="637" spans="1:86">
      <c r="A637" s="33">
        <v>45944</v>
      </c>
      <c r="B637" s="1" t="s">
        <v>821</v>
      </c>
      <c r="C637" s="1" t="s">
        <v>821</v>
      </c>
      <c r="D637" s="1"/>
      <c r="E637" s="38" t="s">
        <v>41</v>
      </c>
      <c r="F637" s="38">
        <v>100</v>
      </c>
      <c r="G637" s="38" t="s">
        <v>590</v>
      </c>
      <c r="H637" s="38">
        <v>97</v>
      </c>
      <c r="I637" s="38">
        <v>936</v>
      </c>
      <c r="J637" s="11">
        <f t="shared" si="183"/>
        <v>936</v>
      </c>
      <c r="K637" s="5">
        <f t="shared" si="184"/>
        <v>9649.4845360824747</v>
      </c>
      <c r="L637" s="39">
        <v>1</v>
      </c>
      <c r="M637" s="37">
        <f t="shared" si="185"/>
        <v>1</v>
      </c>
      <c r="N637" s="38"/>
      <c r="O637" s="46"/>
      <c r="P637" s="42"/>
      <c r="Q637" s="38"/>
      <c r="R637" s="38"/>
      <c r="S637" s="38"/>
      <c r="T637" s="38"/>
      <c r="U637" s="37">
        <f t="shared" si="186"/>
        <v>1</v>
      </c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43"/>
      <c r="AH637" s="44"/>
      <c r="AI637" s="45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  <c r="BW637" s="38"/>
      <c r="BX637" s="38"/>
      <c r="BY637" s="38"/>
      <c r="BZ637" s="38"/>
      <c r="CA637" s="38"/>
      <c r="CB637" s="38"/>
      <c r="CC637" s="38"/>
      <c r="CD637" s="38"/>
      <c r="CE637" s="38"/>
      <c r="CF637" s="38"/>
      <c r="CG637" s="38"/>
      <c r="CH637" s="38"/>
    </row>
    <row r="638" spans="1:86">
      <c r="A638" s="33">
        <v>45944</v>
      </c>
      <c r="B638" s="1" t="s">
        <v>821</v>
      </c>
      <c r="C638" s="1" t="s">
        <v>821</v>
      </c>
      <c r="D638" s="1"/>
      <c r="E638" s="38" t="s">
        <v>41</v>
      </c>
      <c r="F638" s="38">
        <v>100</v>
      </c>
      <c r="G638" s="38" t="s">
        <v>590</v>
      </c>
      <c r="H638" s="38">
        <v>97</v>
      </c>
      <c r="I638" s="38">
        <v>934</v>
      </c>
      <c r="J638" s="11">
        <f t="shared" si="183"/>
        <v>934</v>
      </c>
      <c r="K638" s="5">
        <f t="shared" si="184"/>
        <v>9628.8659793814422</v>
      </c>
      <c r="L638" s="39">
        <v>1</v>
      </c>
      <c r="M638" s="37">
        <f t="shared" si="185"/>
        <v>1</v>
      </c>
      <c r="N638" s="38"/>
      <c r="O638" s="46"/>
      <c r="P638" s="42"/>
      <c r="Q638" s="38"/>
      <c r="R638" s="38"/>
      <c r="S638" s="38"/>
      <c r="T638" s="38"/>
      <c r="U638" s="37">
        <f t="shared" si="186"/>
        <v>1</v>
      </c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43"/>
      <c r="AH638" s="44"/>
      <c r="AI638" s="45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  <c r="BW638" s="38"/>
      <c r="BX638" s="38"/>
      <c r="BY638" s="38"/>
      <c r="BZ638" s="38"/>
      <c r="CA638" s="38"/>
      <c r="CB638" s="38"/>
      <c r="CC638" s="38"/>
      <c r="CD638" s="38"/>
      <c r="CE638" s="38"/>
      <c r="CF638" s="38"/>
      <c r="CG638" s="38"/>
      <c r="CH638" s="38"/>
    </row>
    <row r="639" spans="1:86">
      <c r="A639" s="33">
        <v>45944</v>
      </c>
      <c r="B639" s="1" t="s">
        <v>821</v>
      </c>
      <c r="C639" s="1" t="s">
        <v>821</v>
      </c>
      <c r="D639" s="1"/>
      <c r="E639" s="38" t="s">
        <v>41</v>
      </c>
      <c r="F639" s="38">
        <v>100</v>
      </c>
      <c r="G639" s="38" t="s">
        <v>590</v>
      </c>
      <c r="H639" s="38">
        <v>97</v>
      </c>
      <c r="I639" s="38">
        <v>926</v>
      </c>
      <c r="J639" s="11">
        <f t="shared" si="183"/>
        <v>926</v>
      </c>
      <c r="K639" s="5">
        <f t="shared" si="184"/>
        <v>9546.3917525773195</v>
      </c>
      <c r="L639" s="39">
        <v>1</v>
      </c>
      <c r="M639" s="37">
        <f t="shared" si="185"/>
        <v>1</v>
      </c>
      <c r="N639" s="38"/>
      <c r="O639" s="46"/>
      <c r="P639" s="42"/>
      <c r="Q639" s="38"/>
      <c r="R639" s="38"/>
      <c r="S639" s="38"/>
      <c r="T639" s="38"/>
      <c r="U639" s="37">
        <f t="shared" si="186"/>
        <v>1</v>
      </c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43"/>
      <c r="AH639" s="44"/>
      <c r="AI639" s="45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  <c r="BS639" s="38"/>
      <c r="BT639" s="38"/>
      <c r="BU639" s="38"/>
      <c r="BV639" s="38"/>
      <c r="BW639" s="38"/>
      <c r="BX639" s="38"/>
      <c r="BY639" s="38"/>
      <c r="BZ639" s="38"/>
      <c r="CA639" s="38"/>
      <c r="CB639" s="38"/>
      <c r="CC639" s="38"/>
      <c r="CD639" s="38"/>
      <c r="CE639" s="38"/>
      <c r="CF639" s="38"/>
      <c r="CG639" s="38"/>
      <c r="CH639" s="38"/>
    </row>
    <row r="640" spans="1:86">
      <c r="A640" s="33">
        <v>45944</v>
      </c>
      <c r="B640" s="1" t="s">
        <v>821</v>
      </c>
      <c r="C640" s="1" t="s">
        <v>821</v>
      </c>
      <c r="D640" s="1"/>
      <c r="E640" s="38" t="s">
        <v>41</v>
      </c>
      <c r="F640" s="38">
        <v>100</v>
      </c>
      <c r="G640" s="38" t="s">
        <v>590</v>
      </c>
      <c r="H640" s="38">
        <v>97</v>
      </c>
      <c r="I640" s="38">
        <v>925</v>
      </c>
      <c r="J640" s="11">
        <f t="shared" si="183"/>
        <v>925</v>
      </c>
      <c r="K640" s="5">
        <f t="shared" si="184"/>
        <v>9536.0824742268032</v>
      </c>
      <c r="L640" s="39">
        <v>1</v>
      </c>
      <c r="M640" s="37">
        <f t="shared" si="185"/>
        <v>1</v>
      </c>
      <c r="N640" s="38"/>
      <c r="O640" s="46"/>
      <c r="P640" s="42"/>
      <c r="Q640" s="38"/>
      <c r="R640" s="38"/>
      <c r="S640" s="38"/>
      <c r="T640" s="38"/>
      <c r="U640" s="37">
        <f t="shared" si="186"/>
        <v>1</v>
      </c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43"/>
      <c r="AH640" s="44"/>
      <c r="AI640" s="45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  <c r="BS640" s="38"/>
      <c r="BT640" s="38"/>
      <c r="BU640" s="38"/>
      <c r="BV640" s="38"/>
      <c r="BW640" s="38"/>
      <c r="BX640" s="38"/>
      <c r="BY640" s="38"/>
      <c r="BZ640" s="38"/>
      <c r="CA640" s="38"/>
      <c r="CB640" s="38"/>
      <c r="CC640" s="38"/>
      <c r="CD640" s="38"/>
      <c r="CE640" s="38"/>
      <c r="CF640" s="38"/>
      <c r="CG640" s="38"/>
      <c r="CH640" s="38"/>
    </row>
    <row r="641" spans="1:86">
      <c r="A641" s="33">
        <v>45944</v>
      </c>
      <c r="B641" s="1" t="s">
        <v>821</v>
      </c>
      <c r="C641" s="1" t="s">
        <v>821</v>
      </c>
      <c r="D641" s="1"/>
      <c r="E641" s="38" t="s">
        <v>41</v>
      </c>
      <c r="F641" s="38">
        <v>100</v>
      </c>
      <c r="G641" s="38" t="s">
        <v>590</v>
      </c>
      <c r="H641" s="38">
        <v>97</v>
      </c>
      <c r="I641" s="38">
        <v>924</v>
      </c>
      <c r="J641" s="11">
        <f t="shared" si="183"/>
        <v>924</v>
      </c>
      <c r="K641" s="5">
        <f t="shared" si="184"/>
        <v>9525.7731958762888</v>
      </c>
      <c r="L641" s="39">
        <v>1</v>
      </c>
      <c r="M641" s="37">
        <f t="shared" si="185"/>
        <v>1</v>
      </c>
      <c r="N641" s="38"/>
      <c r="O641" s="46"/>
      <c r="P641" s="42"/>
      <c r="Q641" s="38"/>
      <c r="R641" s="38"/>
      <c r="S641" s="38"/>
      <c r="T641" s="38"/>
      <c r="U641" s="37">
        <f t="shared" si="186"/>
        <v>1</v>
      </c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43"/>
      <c r="AH641" s="44"/>
      <c r="AI641" s="45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  <c r="BW641" s="38"/>
      <c r="BX641" s="38"/>
      <c r="BY641" s="38"/>
      <c r="BZ641" s="38"/>
      <c r="CA641" s="38"/>
      <c r="CB641" s="38"/>
      <c r="CC641" s="38"/>
      <c r="CD641" s="38"/>
      <c r="CE641" s="38"/>
      <c r="CF641" s="38"/>
      <c r="CG641" s="38"/>
      <c r="CH641" s="38"/>
    </row>
    <row r="642" spans="1:86">
      <c r="A642" s="33">
        <v>45944</v>
      </c>
      <c r="B642" s="1" t="s">
        <v>821</v>
      </c>
      <c r="C642" s="1" t="s">
        <v>821</v>
      </c>
      <c r="D642" s="1"/>
      <c r="E642" s="38" t="s">
        <v>41</v>
      </c>
      <c r="F642" s="38">
        <v>100</v>
      </c>
      <c r="G642" s="38" t="s">
        <v>590</v>
      </c>
      <c r="H642" s="38">
        <v>97</v>
      </c>
      <c r="I642" s="38">
        <v>913</v>
      </c>
      <c r="J642" s="11">
        <f t="shared" si="183"/>
        <v>2739</v>
      </c>
      <c r="K642" s="5">
        <f t="shared" si="184"/>
        <v>28237.113402061856</v>
      </c>
      <c r="L642" s="39">
        <v>3</v>
      </c>
      <c r="M642" s="37">
        <f t="shared" si="185"/>
        <v>3</v>
      </c>
      <c r="N642" s="38"/>
      <c r="O642" s="46"/>
      <c r="P642" s="42"/>
      <c r="Q642" s="38"/>
      <c r="R642" s="38"/>
      <c r="S642" s="38"/>
      <c r="T642" s="38"/>
      <c r="U642" s="37">
        <f t="shared" si="186"/>
        <v>3</v>
      </c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43"/>
      <c r="AH642" s="44"/>
      <c r="AI642" s="45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  <c r="BS642" s="38"/>
      <c r="BT642" s="38"/>
      <c r="BU642" s="38"/>
      <c r="BV642" s="38"/>
      <c r="BW642" s="38"/>
      <c r="BX642" s="38"/>
      <c r="BY642" s="38"/>
      <c r="BZ642" s="38"/>
      <c r="CA642" s="38"/>
      <c r="CB642" s="38"/>
      <c r="CC642" s="38"/>
      <c r="CD642" s="38"/>
      <c r="CE642" s="38"/>
      <c r="CF642" s="38"/>
      <c r="CG642" s="38"/>
      <c r="CH642" s="38"/>
    </row>
    <row r="643" spans="1:86">
      <c r="A643" s="33">
        <v>45944</v>
      </c>
      <c r="B643" s="1" t="s">
        <v>821</v>
      </c>
      <c r="C643" s="1" t="s">
        <v>821</v>
      </c>
      <c r="D643" s="1"/>
      <c r="E643" s="38" t="s">
        <v>41</v>
      </c>
      <c r="F643" s="38">
        <v>100</v>
      </c>
      <c r="G643" s="38" t="s">
        <v>590</v>
      </c>
      <c r="H643" s="38">
        <v>97</v>
      </c>
      <c r="I643" s="38">
        <v>912</v>
      </c>
      <c r="J643" s="11">
        <f t="shared" si="183"/>
        <v>912</v>
      </c>
      <c r="K643" s="5">
        <f t="shared" si="184"/>
        <v>9402.0618556701029</v>
      </c>
      <c r="L643" s="39">
        <v>1</v>
      </c>
      <c r="M643" s="37">
        <f t="shared" si="185"/>
        <v>1</v>
      </c>
      <c r="N643" s="38"/>
      <c r="O643" s="46"/>
      <c r="P643" s="42"/>
      <c r="Q643" s="38"/>
      <c r="R643" s="38"/>
      <c r="S643" s="38"/>
      <c r="T643" s="38"/>
      <c r="U643" s="37">
        <f t="shared" si="186"/>
        <v>1</v>
      </c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43"/>
      <c r="AH643" s="44"/>
      <c r="AI643" s="45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  <c r="BS643" s="38"/>
      <c r="BT643" s="38"/>
      <c r="BU643" s="38"/>
      <c r="BV643" s="38"/>
      <c r="BW643" s="38"/>
      <c r="BX643" s="38"/>
      <c r="BY643" s="38"/>
      <c r="BZ643" s="38"/>
      <c r="CA643" s="38"/>
      <c r="CB643" s="38"/>
      <c r="CC643" s="38"/>
      <c r="CD643" s="38"/>
      <c r="CE643" s="38"/>
      <c r="CF643" s="38"/>
      <c r="CG643" s="38"/>
      <c r="CH643" s="38"/>
    </row>
    <row r="644" spans="1:86">
      <c r="A644" s="33">
        <v>45944</v>
      </c>
      <c r="B644" s="1" t="s">
        <v>821</v>
      </c>
      <c r="C644" s="1" t="s">
        <v>821</v>
      </c>
      <c r="D644" s="1"/>
      <c r="E644" s="38" t="s">
        <v>41</v>
      </c>
      <c r="F644" s="38">
        <v>100</v>
      </c>
      <c r="G644" s="38" t="s">
        <v>590</v>
      </c>
      <c r="H644" s="38">
        <v>97</v>
      </c>
      <c r="I644" s="38">
        <v>910</v>
      </c>
      <c r="J644" s="11">
        <f t="shared" si="183"/>
        <v>2730</v>
      </c>
      <c r="K644" s="5">
        <f t="shared" si="184"/>
        <v>28144.329896907217</v>
      </c>
      <c r="L644" s="39">
        <v>3</v>
      </c>
      <c r="M644" s="37">
        <f t="shared" si="185"/>
        <v>3</v>
      </c>
      <c r="N644" s="38"/>
      <c r="O644" s="46"/>
      <c r="P644" s="42"/>
      <c r="Q644" s="38"/>
      <c r="R644" s="38"/>
      <c r="S644" s="38"/>
      <c r="T644" s="38"/>
      <c r="U644" s="37">
        <f t="shared" si="186"/>
        <v>3</v>
      </c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43"/>
      <c r="AH644" s="44"/>
      <c r="AI644" s="45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  <c r="BS644" s="38"/>
      <c r="BT644" s="38"/>
      <c r="BU644" s="38"/>
      <c r="BV644" s="38"/>
      <c r="BW644" s="38"/>
      <c r="BX644" s="38"/>
      <c r="BY644" s="38"/>
      <c r="BZ644" s="38"/>
      <c r="CA644" s="38"/>
      <c r="CB644" s="38"/>
      <c r="CC644" s="38"/>
      <c r="CD644" s="38"/>
      <c r="CE644" s="38"/>
      <c r="CF644" s="38"/>
      <c r="CG644" s="38"/>
      <c r="CH644" s="38"/>
    </row>
    <row r="645" spans="1:86">
      <c r="A645" s="33">
        <v>45944</v>
      </c>
      <c r="B645" s="1" t="s">
        <v>821</v>
      </c>
      <c r="C645" s="1" t="s">
        <v>821</v>
      </c>
      <c r="D645" s="1"/>
      <c r="E645" s="38" t="s">
        <v>41</v>
      </c>
      <c r="F645" s="38">
        <v>100</v>
      </c>
      <c r="G645" s="38" t="s">
        <v>590</v>
      </c>
      <c r="H645" s="38">
        <v>97</v>
      </c>
      <c r="I645" s="38">
        <v>901</v>
      </c>
      <c r="J645" s="11">
        <f t="shared" si="183"/>
        <v>1802</v>
      </c>
      <c r="K645" s="5">
        <f t="shared" si="184"/>
        <v>18577.319587628866</v>
      </c>
      <c r="L645" s="39">
        <v>2</v>
      </c>
      <c r="M645" s="37">
        <f t="shared" si="185"/>
        <v>2</v>
      </c>
      <c r="N645" s="38"/>
      <c r="O645" s="46"/>
      <c r="P645" s="42"/>
      <c r="Q645" s="38"/>
      <c r="R645" s="38"/>
      <c r="S645" s="38"/>
      <c r="T645" s="38"/>
      <c r="U645" s="37">
        <f t="shared" si="186"/>
        <v>2</v>
      </c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43"/>
      <c r="AH645" s="44"/>
      <c r="AI645" s="45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  <c r="BS645" s="38"/>
      <c r="BT645" s="38"/>
      <c r="BU645" s="38"/>
      <c r="BV645" s="38"/>
      <c r="BW645" s="38"/>
      <c r="BX645" s="38"/>
      <c r="BY645" s="38"/>
      <c r="BZ645" s="38"/>
      <c r="CA645" s="38"/>
      <c r="CB645" s="38"/>
      <c r="CC645" s="38"/>
      <c r="CD645" s="38"/>
      <c r="CE645" s="38"/>
      <c r="CF645" s="38"/>
      <c r="CG645" s="38"/>
      <c r="CH645" s="38"/>
    </row>
    <row r="646" spans="1:86">
      <c r="A646" s="33">
        <v>45944</v>
      </c>
      <c r="B646" s="1" t="s">
        <v>821</v>
      </c>
      <c r="C646" s="1" t="s">
        <v>821</v>
      </c>
      <c r="D646" s="1"/>
      <c r="E646" s="38" t="s">
        <v>41</v>
      </c>
      <c r="F646" s="38">
        <v>100</v>
      </c>
      <c r="G646" s="38" t="s">
        <v>590</v>
      </c>
      <c r="H646" s="38">
        <v>97</v>
      </c>
      <c r="I646" s="38">
        <v>908</v>
      </c>
      <c r="J646" s="11">
        <f t="shared" si="183"/>
        <v>908</v>
      </c>
      <c r="K646" s="5">
        <f t="shared" si="184"/>
        <v>9360.8247422680415</v>
      </c>
      <c r="L646" s="39">
        <v>1</v>
      </c>
      <c r="M646" s="37">
        <f t="shared" si="185"/>
        <v>1</v>
      </c>
      <c r="N646" s="38"/>
      <c r="O646" s="46"/>
      <c r="P646" s="42"/>
      <c r="Q646" s="38"/>
      <c r="R646" s="38"/>
      <c r="S646" s="38"/>
      <c r="T646" s="38"/>
      <c r="U646" s="37">
        <f t="shared" si="186"/>
        <v>1</v>
      </c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43"/>
      <c r="AH646" s="44"/>
      <c r="AI646" s="45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  <c r="BS646" s="38"/>
      <c r="BT646" s="38"/>
      <c r="BU646" s="38"/>
      <c r="BV646" s="38"/>
      <c r="BW646" s="38"/>
      <c r="BX646" s="38"/>
      <c r="BY646" s="38"/>
      <c r="BZ646" s="38"/>
      <c r="CA646" s="38"/>
      <c r="CB646" s="38"/>
      <c r="CC646" s="38"/>
      <c r="CD646" s="38"/>
      <c r="CE646" s="38"/>
      <c r="CF646" s="38"/>
      <c r="CG646" s="38"/>
      <c r="CH646" s="38"/>
    </row>
    <row r="647" spans="1:86">
      <c r="A647" s="33">
        <v>45944</v>
      </c>
      <c r="B647" s="1" t="s">
        <v>821</v>
      </c>
      <c r="C647" s="1" t="s">
        <v>821</v>
      </c>
      <c r="D647" s="1"/>
      <c r="E647" s="38" t="s">
        <v>41</v>
      </c>
      <c r="F647" s="38">
        <v>100</v>
      </c>
      <c r="G647" s="38" t="s">
        <v>590</v>
      </c>
      <c r="H647" s="38">
        <v>97</v>
      </c>
      <c r="I647" s="38">
        <v>906</v>
      </c>
      <c r="J647" s="11">
        <f t="shared" si="183"/>
        <v>906</v>
      </c>
      <c r="K647" s="5">
        <f t="shared" si="184"/>
        <v>9340.2061855670108</v>
      </c>
      <c r="L647" s="39">
        <v>1</v>
      </c>
      <c r="M647" s="37">
        <f t="shared" si="185"/>
        <v>1</v>
      </c>
      <c r="N647" s="38"/>
      <c r="O647" s="46"/>
      <c r="P647" s="42"/>
      <c r="Q647" s="38"/>
      <c r="R647" s="38"/>
      <c r="S647" s="38"/>
      <c r="T647" s="38"/>
      <c r="U647" s="37">
        <f t="shared" si="186"/>
        <v>1</v>
      </c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43"/>
      <c r="AH647" s="44"/>
      <c r="AI647" s="45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  <c r="BS647" s="38"/>
      <c r="BT647" s="38"/>
      <c r="BU647" s="38"/>
      <c r="BV647" s="38"/>
      <c r="BW647" s="38"/>
      <c r="BX647" s="38"/>
      <c r="BY647" s="38"/>
      <c r="BZ647" s="38"/>
      <c r="CA647" s="38"/>
      <c r="CB647" s="38"/>
      <c r="CC647" s="38"/>
      <c r="CD647" s="38"/>
      <c r="CE647" s="38"/>
      <c r="CF647" s="38"/>
      <c r="CG647" s="38"/>
      <c r="CH647" s="38"/>
    </row>
    <row r="648" spans="1:86">
      <c r="A648" s="33">
        <v>45944</v>
      </c>
      <c r="B648" s="1" t="s">
        <v>821</v>
      </c>
      <c r="C648" s="1" t="s">
        <v>821</v>
      </c>
      <c r="D648" s="1"/>
      <c r="E648" s="38" t="s">
        <v>41</v>
      </c>
      <c r="F648" s="38">
        <v>100</v>
      </c>
      <c r="G648" s="38" t="s">
        <v>590</v>
      </c>
      <c r="H648" s="38">
        <v>97</v>
      </c>
      <c r="I648" s="38">
        <v>911</v>
      </c>
      <c r="J648" s="11">
        <f t="shared" si="183"/>
        <v>1822</v>
      </c>
      <c r="K648" s="5">
        <f t="shared" si="184"/>
        <v>18783.505154639173</v>
      </c>
      <c r="L648" s="39">
        <v>2</v>
      </c>
      <c r="M648" s="37">
        <f t="shared" si="185"/>
        <v>2</v>
      </c>
      <c r="N648" s="38"/>
      <c r="O648" s="46"/>
      <c r="P648" s="42"/>
      <c r="Q648" s="38"/>
      <c r="R648" s="38"/>
      <c r="S648" s="38"/>
      <c r="T648" s="38"/>
      <c r="U648" s="37">
        <f t="shared" si="186"/>
        <v>2</v>
      </c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43"/>
      <c r="AH648" s="44"/>
      <c r="AI648" s="45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  <c r="BS648" s="38"/>
      <c r="BT648" s="38"/>
      <c r="BU648" s="38"/>
      <c r="BV648" s="38"/>
      <c r="BW648" s="38"/>
      <c r="BX648" s="38"/>
      <c r="BY648" s="38"/>
      <c r="BZ648" s="38"/>
      <c r="CA648" s="38"/>
      <c r="CB648" s="38"/>
      <c r="CC648" s="38"/>
      <c r="CD648" s="38"/>
      <c r="CE648" s="38"/>
      <c r="CF648" s="38"/>
      <c r="CG648" s="38"/>
      <c r="CH648" s="38"/>
    </row>
    <row r="649" spans="1:86">
      <c r="A649" s="33">
        <v>45944</v>
      </c>
      <c r="B649" s="1" t="s">
        <v>821</v>
      </c>
      <c r="C649" s="1" t="s">
        <v>821</v>
      </c>
      <c r="D649" s="1"/>
      <c r="E649" s="38" t="s">
        <v>41</v>
      </c>
      <c r="F649" s="38">
        <v>100</v>
      </c>
      <c r="G649" s="38" t="s">
        <v>590</v>
      </c>
      <c r="H649" s="38">
        <v>97</v>
      </c>
      <c r="I649" s="38">
        <v>909</v>
      </c>
      <c r="J649" s="11">
        <f t="shared" si="183"/>
        <v>909</v>
      </c>
      <c r="K649" s="5">
        <f t="shared" si="184"/>
        <v>9371.134020618556</v>
      </c>
      <c r="L649" s="39">
        <v>1</v>
      </c>
      <c r="M649" s="37">
        <f t="shared" si="185"/>
        <v>1</v>
      </c>
      <c r="N649" s="38"/>
      <c r="O649" s="46"/>
      <c r="P649" s="42"/>
      <c r="Q649" s="38"/>
      <c r="R649" s="38"/>
      <c r="S649" s="38"/>
      <c r="T649" s="38"/>
      <c r="U649" s="37">
        <f t="shared" si="186"/>
        <v>1</v>
      </c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43"/>
      <c r="AH649" s="44"/>
      <c r="AI649" s="45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  <c r="BW649" s="38"/>
      <c r="BX649" s="38"/>
      <c r="BY649" s="38"/>
      <c r="BZ649" s="38"/>
      <c r="CA649" s="38"/>
      <c r="CB649" s="38"/>
      <c r="CC649" s="38"/>
      <c r="CD649" s="38"/>
      <c r="CE649" s="38"/>
      <c r="CF649" s="38"/>
      <c r="CG649" s="38"/>
      <c r="CH649" s="38"/>
    </row>
    <row r="650" spans="1:86">
      <c r="A650" s="33">
        <v>45944</v>
      </c>
      <c r="B650" s="1" t="s">
        <v>821</v>
      </c>
      <c r="C650" s="1" t="s">
        <v>821</v>
      </c>
      <c r="D650" s="1"/>
      <c r="E650" s="38" t="s">
        <v>41</v>
      </c>
      <c r="F650" s="38">
        <v>100</v>
      </c>
      <c r="G650" s="38" t="s">
        <v>590</v>
      </c>
      <c r="H650" s="38">
        <v>97</v>
      </c>
      <c r="I650" s="38">
        <v>907</v>
      </c>
      <c r="J650" s="11">
        <f t="shared" si="183"/>
        <v>907</v>
      </c>
      <c r="K650" s="5">
        <f t="shared" si="184"/>
        <v>9350.5154639175253</v>
      </c>
      <c r="L650" s="39">
        <v>1</v>
      </c>
      <c r="M650" s="37">
        <f t="shared" si="185"/>
        <v>1</v>
      </c>
      <c r="N650" s="38"/>
      <c r="O650" s="46"/>
      <c r="P650" s="42"/>
      <c r="Q650" s="38"/>
      <c r="R650" s="38"/>
      <c r="S650" s="38"/>
      <c r="T650" s="38"/>
      <c r="U650" s="37">
        <f t="shared" si="186"/>
        <v>1</v>
      </c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43"/>
      <c r="AH650" s="44"/>
      <c r="AI650" s="45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  <c r="BW650" s="38"/>
      <c r="BX650" s="38"/>
      <c r="BY650" s="38"/>
      <c r="BZ650" s="38"/>
      <c r="CA650" s="38"/>
      <c r="CB650" s="38"/>
      <c r="CC650" s="38"/>
      <c r="CD650" s="38"/>
      <c r="CE650" s="38"/>
      <c r="CF650" s="38"/>
      <c r="CG650" s="38"/>
      <c r="CH650" s="38"/>
    </row>
    <row r="651" spans="1:86">
      <c r="A651" s="33">
        <v>45944</v>
      </c>
      <c r="B651" s="1" t="s">
        <v>821</v>
      </c>
      <c r="C651" s="1" t="s">
        <v>821</v>
      </c>
      <c r="D651" s="1"/>
      <c r="E651" s="38" t="s">
        <v>41</v>
      </c>
      <c r="F651" s="38">
        <v>100</v>
      </c>
      <c r="G651" s="38" t="s">
        <v>590</v>
      </c>
      <c r="H651" s="38">
        <v>97</v>
      </c>
      <c r="I651" s="38">
        <v>902</v>
      </c>
      <c r="J651" s="11">
        <f t="shared" si="183"/>
        <v>1804</v>
      </c>
      <c r="K651" s="5">
        <f t="shared" si="184"/>
        <v>18597.938144329895</v>
      </c>
      <c r="L651" s="39">
        <v>2</v>
      </c>
      <c r="M651" s="37">
        <f t="shared" si="185"/>
        <v>2</v>
      </c>
      <c r="N651" s="38"/>
      <c r="O651" s="46"/>
      <c r="P651" s="42"/>
      <c r="Q651" s="38"/>
      <c r="R651" s="38"/>
      <c r="S651" s="38"/>
      <c r="T651" s="38"/>
      <c r="U651" s="37">
        <f t="shared" si="186"/>
        <v>2</v>
      </c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43"/>
      <c r="AH651" s="44"/>
      <c r="AI651" s="45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  <c r="BS651" s="38"/>
      <c r="BT651" s="38"/>
      <c r="BU651" s="38"/>
      <c r="BV651" s="38"/>
      <c r="BW651" s="38"/>
      <c r="BX651" s="38"/>
      <c r="BY651" s="38"/>
      <c r="BZ651" s="38"/>
      <c r="CA651" s="38"/>
      <c r="CB651" s="38"/>
      <c r="CC651" s="38"/>
      <c r="CD651" s="38"/>
      <c r="CE651" s="38"/>
      <c r="CF651" s="38"/>
      <c r="CG651" s="38"/>
      <c r="CH651" s="38"/>
    </row>
    <row r="652" spans="1:86">
      <c r="A652" s="33">
        <v>45944</v>
      </c>
      <c r="B652" s="1" t="s">
        <v>821</v>
      </c>
      <c r="C652" s="1" t="s">
        <v>821</v>
      </c>
      <c r="D652" s="1"/>
      <c r="E652" s="38" t="s">
        <v>41</v>
      </c>
      <c r="F652" s="38">
        <v>100</v>
      </c>
      <c r="G652" s="38" t="s">
        <v>590</v>
      </c>
      <c r="H652" s="38">
        <v>97</v>
      </c>
      <c r="I652" s="38">
        <v>900</v>
      </c>
      <c r="J652" s="11">
        <f t="shared" si="183"/>
        <v>900</v>
      </c>
      <c r="K652" s="5">
        <f t="shared" si="184"/>
        <v>9278.350515463917</v>
      </c>
      <c r="L652" s="39">
        <v>1</v>
      </c>
      <c r="M652" s="37">
        <f t="shared" si="185"/>
        <v>1</v>
      </c>
      <c r="N652" s="38"/>
      <c r="O652" s="46"/>
      <c r="P652" s="42"/>
      <c r="Q652" s="38"/>
      <c r="R652" s="38"/>
      <c r="S652" s="38"/>
      <c r="T652" s="38"/>
      <c r="U652" s="37">
        <f t="shared" si="186"/>
        <v>1</v>
      </c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43"/>
      <c r="AH652" s="44"/>
      <c r="AI652" s="45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  <c r="BS652" s="38"/>
      <c r="BT652" s="38"/>
      <c r="BU652" s="38"/>
      <c r="BV652" s="38"/>
      <c r="BW652" s="38"/>
      <c r="BX652" s="38"/>
      <c r="BY652" s="38"/>
      <c r="BZ652" s="38"/>
      <c r="CA652" s="38"/>
      <c r="CB652" s="38"/>
      <c r="CC652" s="38"/>
      <c r="CD652" s="38"/>
      <c r="CE652" s="38"/>
      <c r="CF652" s="38"/>
      <c r="CG652" s="38"/>
      <c r="CH652" s="38"/>
    </row>
    <row r="653" spans="1:86">
      <c r="A653" s="33">
        <v>45944</v>
      </c>
      <c r="B653" s="1" t="s">
        <v>821</v>
      </c>
      <c r="C653" s="1" t="s">
        <v>821</v>
      </c>
      <c r="D653" s="1"/>
      <c r="E653" s="38" t="s">
        <v>41</v>
      </c>
      <c r="F653" s="38">
        <v>100</v>
      </c>
      <c r="G653" s="38" t="s">
        <v>590</v>
      </c>
      <c r="H653" s="38">
        <v>97</v>
      </c>
      <c r="I653" s="38">
        <v>895</v>
      </c>
      <c r="J653" s="11">
        <f t="shared" si="183"/>
        <v>1790</v>
      </c>
      <c r="K653" s="5">
        <f t="shared" si="184"/>
        <v>18453.608247422679</v>
      </c>
      <c r="L653" s="39">
        <v>2</v>
      </c>
      <c r="M653" s="37">
        <f t="shared" si="185"/>
        <v>2</v>
      </c>
      <c r="N653" s="38"/>
      <c r="O653" s="46"/>
      <c r="P653" s="42"/>
      <c r="Q653" s="38"/>
      <c r="R653" s="38"/>
      <c r="S653" s="38"/>
      <c r="T653" s="38"/>
      <c r="U653" s="37">
        <f t="shared" si="186"/>
        <v>2</v>
      </c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43"/>
      <c r="AH653" s="44"/>
      <c r="AI653" s="45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  <c r="BS653" s="38"/>
      <c r="BT653" s="38"/>
      <c r="BU653" s="38"/>
      <c r="BV653" s="38"/>
      <c r="BW653" s="38"/>
      <c r="BX653" s="38"/>
      <c r="BY653" s="38"/>
      <c r="BZ653" s="38"/>
      <c r="CA653" s="38"/>
      <c r="CB653" s="38"/>
      <c r="CC653" s="38"/>
      <c r="CD653" s="38"/>
      <c r="CE653" s="38"/>
      <c r="CF653" s="38"/>
      <c r="CG653" s="38"/>
      <c r="CH653" s="38"/>
    </row>
    <row r="654" spans="1:86">
      <c r="A654" s="33">
        <v>45944</v>
      </c>
      <c r="B654" s="1" t="s">
        <v>821</v>
      </c>
      <c r="C654" s="1" t="s">
        <v>821</v>
      </c>
      <c r="D654" s="1"/>
      <c r="E654" s="38" t="s">
        <v>41</v>
      </c>
      <c r="F654" s="38">
        <v>100</v>
      </c>
      <c r="G654" s="38" t="s">
        <v>590</v>
      </c>
      <c r="H654" s="38">
        <v>97</v>
      </c>
      <c r="I654" s="38">
        <v>894</v>
      </c>
      <c r="J654" s="11">
        <f t="shared" si="183"/>
        <v>894</v>
      </c>
      <c r="K654" s="5">
        <f t="shared" si="184"/>
        <v>9216.4948453608249</v>
      </c>
      <c r="L654" s="39">
        <v>1</v>
      </c>
      <c r="M654" s="37">
        <f t="shared" si="185"/>
        <v>1</v>
      </c>
      <c r="N654" s="38"/>
      <c r="O654" s="46"/>
      <c r="P654" s="42"/>
      <c r="Q654" s="38"/>
      <c r="R654" s="38"/>
      <c r="S654" s="38"/>
      <c r="T654" s="38"/>
      <c r="U654" s="37">
        <f t="shared" si="186"/>
        <v>1</v>
      </c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43"/>
      <c r="AH654" s="44"/>
      <c r="AI654" s="45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  <c r="BS654" s="38"/>
      <c r="BT654" s="38"/>
      <c r="BU654" s="38"/>
      <c r="BV654" s="38"/>
      <c r="BW654" s="38"/>
      <c r="BX654" s="38"/>
      <c r="BY654" s="38"/>
      <c r="BZ654" s="38"/>
      <c r="CA654" s="38"/>
      <c r="CB654" s="38"/>
      <c r="CC654" s="38"/>
      <c r="CD654" s="38"/>
      <c r="CE654" s="38"/>
      <c r="CF654" s="38"/>
      <c r="CG654" s="38"/>
      <c r="CH654" s="38"/>
    </row>
    <row r="655" spans="1:86">
      <c r="A655" s="33">
        <v>45944</v>
      </c>
      <c r="B655" s="1" t="s">
        <v>821</v>
      </c>
      <c r="C655" s="1" t="s">
        <v>821</v>
      </c>
      <c r="D655" s="1"/>
      <c r="E655" s="38" t="s">
        <v>41</v>
      </c>
      <c r="F655" s="38">
        <v>100</v>
      </c>
      <c r="G655" s="38" t="s">
        <v>590</v>
      </c>
      <c r="H655" s="38">
        <v>97</v>
      </c>
      <c r="I655" s="38">
        <v>896</v>
      </c>
      <c r="J655" s="11">
        <f t="shared" si="183"/>
        <v>896</v>
      </c>
      <c r="K655" s="5">
        <f t="shared" si="184"/>
        <v>9237.1134020618556</v>
      </c>
      <c r="L655" s="39">
        <v>1</v>
      </c>
      <c r="M655" s="37">
        <f t="shared" si="185"/>
        <v>1</v>
      </c>
      <c r="N655" s="38"/>
      <c r="O655" s="46"/>
      <c r="P655" s="42"/>
      <c r="Q655" s="38"/>
      <c r="R655" s="38"/>
      <c r="S655" s="38"/>
      <c r="T655" s="38"/>
      <c r="U655" s="37">
        <f t="shared" si="186"/>
        <v>1</v>
      </c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43"/>
      <c r="AH655" s="44"/>
      <c r="AI655" s="45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  <c r="BS655" s="38"/>
      <c r="BT655" s="38"/>
      <c r="BU655" s="38"/>
      <c r="BV655" s="38"/>
      <c r="BW655" s="38"/>
      <c r="BX655" s="38"/>
      <c r="BY655" s="38"/>
      <c r="BZ655" s="38"/>
      <c r="CA655" s="38"/>
      <c r="CB655" s="38"/>
      <c r="CC655" s="38"/>
      <c r="CD655" s="38"/>
      <c r="CE655" s="38"/>
      <c r="CF655" s="38"/>
      <c r="CG655" s="38"/>
      <c r="CH655" s="38"/>
    </row>
    <row r="656" spans="1:86">
      <c r="A656" s="33">
        <v>45944</v>
      </c>
      <c r="B656" s="1" t="s">
        <v>821</v>
      </c>
      <c r="C656" s="1" t="s">
        <v>821</v>
      </c>
      <c r="D656" s="1"/>
      <c r="E656" s="38" t="s">
        <v>41</v>
      </c>
      <c r="F656" s="38">
        <v>100</v>
      </c>
      <c r="G656" s="38" t="s">
        <v>590</v>
      </c>
      <c r="H656" s="38">
        <v>97</v>
      </c>
      <c r="I656" s="38">
        <v>931</v>
      </c>
      <c r="J656" s="11">
        <f t="shared" si="183"/>
        <v>931</v>
      </c>
      <c r="K656" s="5">
        <f t="shared" si="184"/>
        <v>9597.9381443298971</v>
      </c>
      <c r="L656" s="39">
        <v>1</v>
      </c>
      <c r="M656" s="37">
        <f t="shared" si="185"/>
        <v>1</v>
      </c>
      <c r="N656" s="38"/>
      <c r="O656" s="46"/>
      <c r="P656" s="42"/>
      <c r="Q656" s="38"/>
      <c r="R656" s="38"/>
      <c r="S656" s="38"/>
      <c r="T656" s="38"/>
      <c r="U656" s="37">
        <f t="shared" si="186"/>
        <v>1</v>
      </c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43"/>
      <c r="AH656" s="44"/>
      <c r="AI656" s="45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  <c r="BS656" s="38"/>
      <c r="BT656" s="38"/>
      <c r="BU656" s="38"/>
      <c r="BV656" s="38"/>
      <c r="BW656" s="38"/>
      <c r="BX656" s="38"/>
      <c r="BY656" s="38"/>
      <c r="BZ656" s="38"/>
      <c r="CA656" s="38"/>
      <c r="CB656" s="38"/>
      <c r="CC656" s="38"/>
      <c r="CD656" s="38"/>
      <c r="CE656" s="38"/>
      <c r="CF656" s="38"/>
      <c r="CG656" s="38"/>
      <c r="CH656" s="38"/>
    </row>
    <row r="657" spans="1:86">
      <c r="A657" s="33">
        <v>45944</v>
      </c>
      <c r="B657" s="1" t="s">
        <v>821</v>
      </c>
      <c r="C657" s="1" t="s">
        <v>821</v>
      </c>
      <c r="D657" s="1"/>
      <c r="E657" s="38" t="s">
        <v>41</v>
      </c>
      <c r="F657" s="38">
        <v>100</v>
      </c>
      <c r="G657" s="38" t="s">
        <v>590</v>
      </c>
      <c r="H657" s="38">
        <v>97</v>
      </c>
      <c r="I657" s="38">
        <v>930</v>
      </c>
      <c r="J657" s="11">
        <f t="shared" si="183"/>
        <v>930</v>
      </c>
      <c r="K657" s="5">
        <f t="shared" si="184"/>
        <v>9587.6288659793809</v>
      </c>
      <c r="L657" s="39">
        <v>1</v>
      </c>
      <c r="M657" s="37">
        <f t="shared" si="185"/>
        <v>1</v>
      </c>
      <c r="N657" s="38"/>
      <c r="O657" s="46"/>
      <c r="P657" s="42"/>
      <c r="Q657" s="38"/>
      <c r="R657" s="38"/>
      <c r="S657" s="38"/>
      <c r="T657" s="38"/>
      <c r="U657" s="37">
        <f t="shared" si="186"/>
        <v>1</v>
      </c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43"/>
      <c r="AH657" s="44"/>
      <c r="AI657" s="45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  <c r="BS657" s="38"/>
      <c r="BT657" s="38"/>
      <c r="BU657" s="38"/>
      <c r="BV657" s="38"/>
      <c r="BW657" s="38"/>
      <c r="BX657" s="38"/>
      <c r="BY657" s="38"/>
      <c r="BZ657" s="38"/>
      <c r="CA657" s="38"/>
      <c r="CB657" s="38"/>
      <c r="CC657" s="38"/>
      <c r="CD657" s="38"/>
      <c r="CE657" s="38"/>
      <c r="CF657" s="38"/>
      <c r="CG657" s="38"/>
      <c r="CH657" s="38"/>
    </row>
    <row r="658" spans="1:86">
      <c r="A658" s="33">
        <v>45944</v>
      </c>
      <c r="B658" s="1" t="s">
        <v>821</v>
      </c>
      <c r="C658" s="1" t="s">
        <v>821</v>
      </c>
      <c r="D658" s="1"/>
      <c r="E658" s="38" t="s">
        <v>41</v>
      </c>
      <c r="F658" s="38">
        <v>100</v>
      </c>
      <c r="G658" s="38" t="s">
        <v>590</v>
      </c>
      <c r="H658" s="38">
        <v>97</v>
      </c>
      <c r="I658" s="38">
        <v>929</v>
      </c>
      <c r="J658" s="11">
        <f t="shared" si="183"/>
        <v>929</v>
      </c>
      <c r="K658" s="5">
        <f t="shared" si="184"/>
        <v>9577.3195876288664</v>
      </c>
      <c r="L658" s="39">
        <v>1</v>
      </c>
      <c r="M658" s="37">
        <f t="shared" si="185"/>
        <v>1</v>
      </c>
      <c r="N658" s="38"/>
      <c r="O658" s="46"/>
      <c r="P658" s="42"/>
      <c r="Q658" s="38"/>
      <c r="R658" s="38"/>
      <c r="S658" s="38"/>
      <c r="T658" s="38"/>
      <c r="U658" s="37">
        <f t="shared" si="186"/>
        <v>1</v>
      </c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43"/>
      <c r="AH658" s="44"/>
      <c r="AI658" s="45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  <c r="BS658" s="38"/>
      <c r="BT658" s="38"/>
      <c r="BU658" s="38"/>
      <c r="BV658" s="38"/>
      <c r="BW658" s="38"/>
      <c r="BX658" s="38"/>
      <c r="BY658" s="38"/>
      <c r="BZ658" s="38"/>
      <c r="CA658" s="38"/>
      <c r="CB658" s="38"/>
      <c r="CC658" s="38"/>
      <c r="CD658" s="38"/>
      <c r="CE658" s="38"/>
      <c r="CF658" s="38"/>
      <c r="CG658" s="38"/>
      <c r="CH658" s="38"/>
    </row>
    <row r="659" spans="1:86">
      <c r="A659" s="33">
        <v>45944</v>
      </c>
      <c r="B659" s="1" t="s">
        <v>821</v>
      </c>
      <c r="C659" s="1" t="s">
        <v>821</v>
      </c>
      <c r="D659" s="1"/>
      <c r="E659" s="38" t="s">
        <v>41</v>
      </c>
      <c r="F659" s="38">
        <v>100</v>
      </c>
      <c r="G659" s="38" t="s">
        <v>590</v>
      </c>
      <c r="H659" s="38">
        <v>97</v>
      </c>
      <c r="I659" s="38">
        <v>928</v>
      </c>
      <c r="J659" s="11">
        <f t="shared" si="183"/>
        <v>928</v>
      </c>
      <c r="K659" s="5">
        <f t="shared" si="184"/>
        <v>9567.0103092783502</v>
      </c>
      <c r="L659" s="39">
        <v>1</v>
      </c>
      <c r="M659" s="37">
        <f t="shared" si="185"/>
        <v>1</v>
      </c>
      <c r="N659" s="38"/>
      <c r="O659" s="46"/>
      <c r="P659" s="42"/>
      <c r="Q659" s="38"/>
      <c r="R659" s="38"/>
      <c r="S659" s="38"/>
      <c r="T659" s="38"/>
      <c r="U659" s="37">
        <f t="shared" si="186"/>
        <v>1</v>
      </c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43"/>
      <c r="AH659" s="44"/>
      <c r="AI659" s="45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  <c r="BS659" s="38"/>
      <c r="BT659" s="38"/>
      <c r="BU659" s="38"/>
      <c r="BV659" s="38"/>
      <c r="BW659" s="38"/>
      <c r="BX659" s="38"/>
      <c r="BY659" s="38"/>
      <c r="BZ659" s="38"/>
      <c r="CA659" s="38"/>
      <c r="CB659" s="38"/>
      <c r="CC659" s="38"/>
      <c r="CD659" s="38"/>
      <c r="CE659" s="38"/>
      <c r="CF659" s="38"/>
      <c r="CG659" s="38"/>
      <c r="CH659" s="38"/>
    </row>
    <row r="660" spans="1:86">
      <c r="A660" s="33">
        <v>45944</v>
      </c>
      <c r="B660" s="1" t="s">
        <v>821</v>
      </c>
      <c r="C660" s="1" t="s">
        <v>821</v>
      </c>
      <c r="D660" s="1"/>
      <c r="E660" s="38" t="s">
        <v>41</v>
      </c>
      <c r="F660" s="38">
        <v>100</v>
      </c>
      <c r="G660" s="38" t="s">
        <v>590</v>
      </c>
      <c r="H660" s="38">
        <v>97</v>
      </c>
      <c r="I660" s="38">
        <v>942</v>
      </c>
      <c r="J660" s="11">
        <f t="shared" si="183"/>
        <v>942</v>
      </c>
      <c r="K660" s="5">
        <f t="shared" si="184"/>
        <v>9711.3402061855668</v>
      </c>
      <c r="L660" s="39">
        <v>1</v>
      </c>
      <c r="M660" s="37">
        <f t="shared" si="185"/>
        <v>1</v>
      </c>
      <c r="N660" s="38"/>
      <c r="O660" s="46"/>
      <c r="P660" s="42"/>
      <c r="Q660" s="38"/>
      <c r="R660" s="38"/>
      <c r="S660" s="38"/>
      <c r="T660" s="38"/>
      <c r="U660" s="37">
        <f t="shared" si="186"/>
        <v>1</v>
      </c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43"/>
      <c r="AH660" s="44"/>
      <c r="AI660" s="45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  <c r="BS660" s="38"/>
      <c r="BT660" s="38"/>
      <c r="BU660" s="38"/>
      <c r="BV660" s="38"/>
      <c r="BW660" s="38"/>
      <c r="BX660" s="38"/>
      <c r="BY660" s="38"/>
      <c r="BZ660" s="38"/>
      <c r="CA660" s="38"/>
      <c r="CB660" s="38"/>
      <c r="CC660" s="38"/>
      <c r="CD660" s="38"/>
      <c r="CE660" s="38"/>
      <c r="CF660" s="38"/>
      <c r="CG660" s="38"/>
      <c r="CH660" s="38"/>
    </row>
    <row r="661" spans="1:86">
      <c r="A661" s="33">
        <v>45944</v>
      </c>
      <c r="B661" s="1" t="s">
        <v>821</v>
      </c>
      <c r="C661" s="1" t="s">
        <v>821</v>
      </c>
      <c r="D661" s="1"/>
      <c r="E661" s="38" t="s">
        <v>41</v>
      </c>
      <c r="F661" s="38">
        <v>100</v>
      </c>
      <c r="G661" s="38" t="s">
        <v>590</v>
      </c>
      <c r="H661" s="38">
        <v>97</v>
      </c>
      <c r="I661" s="38">
        <v>940</v>
      </c>
      <c r="J661" s="11">
        <f t="shared" si="183"/>
        <v>940</v>
      </c>
      <c r="K661" s="5">
        <f t="shared" si="184"/>
        <v>9690.7216494845361</v>
      </c>
      <c r="L661" s="39">
        <v>1</v>
      </c>
      <c r="M661" s="37">
        <f t="shared" si="185"/>
        <v>1</v>
      </c>
      <c r="N661" s="38"/>
      <c r="O661" s="46"/>
      <c r="P661" s="42"/>
      <c r="Q661" s="38"/>
      <c r="R661" s="38"/>
      <c r="S661" s="38"/>
      <c r="T661" s="38"/>
      <c r="U661" s="37">
        <f t="shared" si="186"/>
        <v>1</v>
      </c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43"/>
      <c r="AH661" s="44"/>
      <c r="AI661" s="45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  <c r="BW661" s="38"/>
      <c r="BX661" s="38"/>
      <c r="BY661" s="38"/>
      <c r="BZ661" s="38"/>
      <c r="CA661" s="38"/>
      <c r="CB661" s="38"/>
      <c r="CC661" s="38"/>
      <c r="CD661" s="38"/>
      <c r="CE661" s="38"/>
      <c r="CF661" s="38"/>
      <c r="CG661" s="38"/>
      <c r="CH661" s="38"/>
    </row>
    <row r="662" spans="1:86">
      <c r="A662" s="33">
        <v>45944</v>
      </c>
      <c r="B662" s="1" t="s">
        <v>833</v>
      </c>
      <c r="C662" s="1" t="s">
        <v>833</v>
      </c>
      <c r="D662" s="1"/>
      <c r="E662" s="38" t="s">
        <v>41</v>
      </c>
      <c r="F662" s="38">
        <v>100</v>
      </c>
      <c r="G662" s="38" t="s">
        <v>590</v>
      </c>
      <c r="H662" s="38">
        <v>120</v>
      </c>
      <c r="I662" s="38">
        <v>1041</v>
      </c>
      <c r="J662" s="11">
        <f t="shared" si="183"/>
        <v>1041</v>
      </c>
      <c r="K662" s="5">
        <f t="shared" si="184"/>
        <v>8675</v>
      </c>
      <c r="L662" s="39">
        <v>1</v>
      </c>
      <c r="M662" s="37">
        <f t="shared" si="185"/>
        <v>1</v>
      </c>
      <c r="N662" s="38"/>
      <c r="O662" s="46"/>
      <c r="P662" s="42"/>
      <c r="Q662" s="38"/>
      <c r="R662" s="38"/>
      <c r="S662" s="38"/>
      <c r="T662" s="38"/>
      <c r="U662" s="37">
        <f t="shared" si="186"/>
        <v>1</v>
      </c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43"/>
      <c r="AH662" s="44"/>
      <c r="AI662" s="45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  <c r="BW662" s="38"/>
      <c r="BX662" s="38"/>
      <c r="BY662" s="38"/>
      <c r="BZ662" s="38"/>
      <c r="CA662" s="38"/>
      <c r="CB662" s="38"/>
      <c r="CC662" s="38"/>
      <c r="CD662" s="38"/>
      <c r="CE662" s="38"/>
      <c r="CF662" s="38"/>
      <c r="CG662" s="38"/>
      <c r="CH662" s="38"/>
    </row>
    <row r="663" spans="1:86">
      <c r="A663" s="33">
        <v>45944</v>
      </c>
      <c r="B663" s="1" t="s">
        <v>833</v>
      </c>
      <c r="C663" s="1" t="s">
        <v>833</v>
      </c>
      <c r="D663" s="1"/>
      <c r="E663" s="38" t="s">
        <v>41</v>
      </c>
      <c r="F663" s="38">
        <v>100</v>
      </c>
      <c r="G663" s="38" t="s">
        <v>590</v>
      </c>
      <c r="H663" s="38">
        <v>120</v>
      </c>
      <c r="I663" s="38">
        <v>1040</v>
      </c>
      <c r="J663" s="11">
        <f t="shared" si="183"/>
        <v>1040</v>
      </c>
      <c r="K663" s="5">
        <f t="shared" si="184"/>
        <v>8666.6666666666661</v>
      </c>
      <c r="L663" s="39">
        <v>1</v>
      </c>
      <c r="M663" s="37">
        <f t="shared" si="185"/>
        <v>1</v>
      </c>
      <c r="N663" s="38"/>
      <c r="O663" s="46"/>
      <c r="P663" s="42"/>
      <c r="Q663" s="38"/>
      <c r="R663" s="38"/>
      <c r="S663" s="38"/>
      <c r="T663" s="38"/>
      <c r="U663" s="37">
        <f t="shared" si="186"/>
        <v>1</v>
      </c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43"/>
      <c r="AH663" s="44"/>
      <c r="AI663" s="45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  <c r="BS663" s="38"/>
      <c r="BT663" s="38"/>
      <c r="BU663" s="38"/>
      <c r="BV663" s="38"/>
      <c r="BW663" s="38"/>
      <c r="BX663" s="38"/>
      <c r="BY663" s="38"/>
      <c r="BZ663" s="38"/>
      <c r="CA663" s="38"/>
      <c r="CB663" s="38"/>
      <c r="CC663" s="38"/>
      <c r="CD663" s="38"/>
      <c r="CE663" s="38"/>
      <c r="CF663" s="38"/>
      <c r="CG663" s="38"/>
      <c r="CH663" s="38"/>
    </row>
    <row r="664" spans="1:86">
      <c r="A664" s="33">
        <v>45944</v>
      </c>
      <c r="B664" s="1" t="s">
        <v>834</v>
      </c>
      <c r="C664" s="1" t="s">
        <v>834</v>
      </c>
      <c r="D664" s="1"/>
      <c r="E664" s="38" t="s">
        <v>41</v>
      </c>
      <c r="F664" s="38">
        <v>100</v>
      </c>
      <c r="G664" s="38" t="s">
        <v>590</v>
      </c>
      <c r="H664" s="38">
        <v>123</v>
      </c>
      <c r="I664" s="38">
        <v>1048</v>
      </c>
      <c r="J664" s="11">
        <f t="shared" si="183"/>
        <v>1048</v>
      </c>
      <c r="K664" s="5">
        <f t="shared" si="184"/>
        <v>8520.3252032520322</v>
      </c>
      <c r="L664" s="39">
        <v>1</v>
      </c>
      <c r="M664" s="37">
        <f t="shared" si="185"/>
        <v>1</v>
      </c>
      <c r="N664" s="38"/>
      <c r="O664" s="46"/>
      <c r="P664" s="42"/>
      <c r="Q664" s="38"/>
      <c r="R664" s="38"/>
      <c r="S664" s="38"/>
      <c r="T664" s="38"/>
      <c r="U664" s="37">
        <f t="shared" si="186"/>
        <v>1</v>
      </c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43"/>
      <c r="AH664" s="44"/>
      <c r="AI664" s="45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  <c r="BS664" s="38"/>
      <c r="BT664" s="38"/>
      <c r="BU664" s="38"/>
      <c r="BV664" s="38"/>
      <c r="BW664" s="38"/>
      <c r="BX664" s="38"/>
      <c r="BY664" s="38"/>
      <c r="BZ664" s="38"/>
      <c r="CA664" s="38"/>
      <c r="CB664" s="38"/>
      <c r="CC664" s="38"/>
      <c r="CD664" s="38"/>
      <c r="CE664" s="38"/>
      <c r="CF664" s="38"/>
      <c r="CG664" s="38"/>
      <c r="CH664" s="38"/>
    </row>
    <row r="665" spans="1:86">
      <c r="A665" s="33">
        <v>45944</v>
      </c>
      <c r="B665" s="1" t="s">
        <v>834</v>
      </c>
      <c r="C665" s="1" t="s">
        <v>834</v>
      </c>
      <c r="D665" s="1"/>
      <c r="E665" s="38" t="s">
        <v>41</v>
      </c>
      <c r="F665" s="38">
        <v>100</v>
      </c>
      <c r="G665" s="38" t="s">
        <v>590</v>
      </c>
      <c r="H665" s="38">
        <v>123</v>
      </c>
      <c r="I665" s="38">
        <v>1068</v>
      </c>
      <c r="J665" s="11">
        <f t="shared" si="183"/>
        <v>1068</v>
      </c>
      <c r="K665" s="5">
        <f>+J665/(F665*H665*10^-5)</f>
        <v>8682.9268292682918</v>
      </c>
      <c r="L665" s="39">
        <v>1</v>
      </c>
      <c r="M665" s="37">
        <f t="shared" si="185"/>
        <v>1</v>
      </c>
      <c r="N665" s="38"/>
      <c r="O665" s="46"/>
      <c r="P665" s="42"/>
      <c r="Q665" s="38"/>
      <c r="R665" s="38"/>
      <c r="S665" s="38"/>
      <c r="T665" s="38"/>
      <c r="U665" s="37">
        <f t="shared" si="186"/>
        <v>1</v>
      </c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43"/>
      <c r="AH665" s="44"/>
      <c r="AI665" s="45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  <c r="CH665" s="38"/>
    </row>
    <row r="666" spans="1:86">
      <c r="A666" s="33">
        <v>45944</v>
      </c>
      <c r="B666" s="1" t="s">
        <v>821</v>
      </c>
      <c r="C666" s="1" t="s">
        <v>821</v>
      </c>
      <c r="D666" s="1"/>
      <c r="E666" s="38" t="s">
        <v>41</v>
      </c>
      <c r="F666" s="38">
        <v>100</v>
      </c>
      <c r="G666" s="38" t="s">
        <v>590</v>
      </c>
      <c r="H666" s="38">
        <v>97</v>
      </c>
      <c r="I666" s="38">
        <v>893</v>
      </c>
      <c r="J666" s="11">
        <f t="shared" ref="J666:J667" si="187">IFERROR(IF(AND(V666=3,U666&gt;0),I666,I666*U666),"Verify")</f>
        <v>893</v>
      </c>
      <c r="K666" s="5">
        <f t="shared" si="184"/>
        <v>9206.1855670103087</v>
      </c>
      <c r="L666" s="39">
        <v>1</v>
      </c>
      <c r="M666" s="37">
        <f t="shared" si="185"/>
        <v>1</v>
      </c>
      <c r="N666" s="38"/>
      <c r="O666" s="46"/>
      <c r="P666" s="42"/>
      <c r="Q666" s="38"/>
      <c r="R666" s="38"/>
      <c r="S666" s="38"/>
      <c r="T666" s="38"/>
      <c r="U666" s="37">
        <f t="shared" si="186"/>
        <v>1</v>
      </c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43"/>
      <c r="AH666" s="44"/>
      <c r="AI666" s="45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  <c r="CH666" s="38"/>
    </row>
    <row r="667" spans="1:86">
      <c r="A667" s="33">
        <v>45944</v>
      </c>
      <c r="B667" s="1" t="s">
        <v>821</v>
      </c>
      <c r="C667" s="1" t="s">
        <v>821</v>
      </c>
      <c r="D667" s="1"/>
      <c r="E667" s="38" t="s">
        <v>41</v>
      </c>
      <c r="F667" s="38">
        <v>100</v>
      </c>
      <c r="G667" s="38" t="s">
        <v>590</v>
      </c>
      <c r="H667" s="38">
        <v>97</v>
      </c>
      <c r="I667" s="38">
        <v>894</v>
      </c>
      <c r="J667" s="11">
        <f t="shared" si="187"/>
        <v>894</v>
      </c>
      <c r="K667" s="5">
        <f t="shared" ref="K667:K704" si="188">+J667/(F667*H667*10^-5)</f>
        <v>9216.4948453608249</v>
      </c>
      <c r="L667" s="39">
        <v>1</v>
      </c>
      <c r="M667" s="37">
        <f t="shared" si="185"/>
        <v>1</v>
      </c>
      <c r="N667" s="38"/>
      <c r="O667" s="46"/>
      <c r="P667" s="42"/>
      <c r="Q667" s="38"/>
      <c r="R667" s="38"/>
      <c r="S667" s="38"/>
      <c r="T667" s="38"/>
      <c r="U667" s="37">
        <f t="shared" si="186"/>
        <v>1</v>
      </c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43"/>
      <c r="AH667" s="44"/>
      <c r="AI667" s="45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  <c r="CH667" s="38"/>
    </row>
    <row r="668" spans="1:86">
      <c r="A668" s="33">
        <v>45944</v>
      </c>
      <c r="B668" s="1" t="s">
        <v>821</v>
      </c>
      <c r="C668" s="1" t="s">
        <v>821</v>
      </c>
      <c r="D668" s="1"/>
      <c r="E668" s="38" t="s">
        <v>41</v>
      </c>
      <c r="F668" s="38">
        <v>100</v>
      </c>
      <c r="G668" s="38" t="s">
        <v>590</v>
      </c>
      <c r="H668" s="38">
        <v>97</v>
      </c>
      <c r="I668" s="38">
        <v>892</v>
      </c>
      <c r="J668" s="11">
        <f t="shared" ref="J668:J704" si="189">IFERROR(IF(AND(V668=3,U668&gt;0),I668,I668*U668),"Verify")</f>
        <v>892</v>
      </c>
      <c r="K668" s="5">
        <f t="shared" si="188"/>
        <v>9195.8762886597942</v>
      </c>
      <c r="L668" s="39">
        <v>1</v>
      </c>
      <c r="M668" s="37">
        <f t="shared" si="185"/>
        <v>1</v>
      </c>
      <c r="N668" s="38"/>
      <c r="O668" s="46"/>
      <c r="P668" s="42"/>
      <c r="Q668" s="38"/>
      <c r="R668" s="38"/>
      <c r="S668" s="38"/>
      <c r="T668" s="38"/>
      <c r="U668" s="37">
        <f t="shared" si="186"/>
        <v>1</v>
      </c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43"/>
      <c r="AH668" s="44"/>
      <c r="AI668" s="45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  <c r="CH668" s="38"/>
    </row>
    <row r="669" spans="1:86">
      <c r="A669" s="33">
        <v>45944</v>
      </c>
      <c r="B669" s="1" t="s">
        <v>821</v>
      </c>
      <c r="C669" s="1" t="s">
        <v>821</v>
      </c>
      <c r="D669" s="1"/>
      <c r="E669" s="38" t="s">
        <v>41</v>
      </c>
      <c r="F669" s="38">
        <v>100</v>
      </c>
      <c r="G669" s="38" t="s">
        <v>590</v>
      </c>
      <c r="H669" s="38">
        <v>97</v>
      </c>
      <c r="I669" s="38">
        <v>888</v>
      </c>
      <c r="J669" s="11">
        <f t="shared" si="189"/>
        <v>888</v>
      </c>
      <c r="K669" s="5">
        <f t="shared" si="188"/>
        <v>9154.639175257731</v>
      </c>
      <c r="L669" s="39">
        <v>1</v>
      </c>
      <c r="M669" s="37">
        <f t="shared" si="185"/>
        <v>1</v>
      </c>
      <c r="N669" s="38"/>
      <c r="O669" s="46"/>
      <c r="P669" s="42"/>
      <c r="Q669" s="38"/>
      <c r="R669" s="38"/>
      <c r="S669" s="38"/>
      <c r="T669" s="38"/>
      <c r="U669" s="37">
        <f t="shared" si="186"/>
        <v>1</v>
      </c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43"/>
      <c r="AH669" s="44"/>
      <c r="AI669" s="45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  <c r="CH669" s="38"/>
    </row>
    <row r="670" spans="1:86">
      <c r="A670" s="33">
        <v>45944</v>
      </c>
      <c r="B670" s="1" t="s">
        <v>821</v>
      </c>
      <c r="C670" s="1" t="s">
        <v>821</v>
      </c>
      <c r="D670" s="1"/>
      <c r="E670" s="38" t="s">
        <v>41</v>
      </c>
      <c r="F670" s="38">
        <v>100</v>
      </c>
      <c r="G670" s="38" t="s">
        <v>590</v>
      </c>
      <c r="H670" s="38">
        <v>97</v>
      </c>
      <c r="I670" s="38">
        <v>891</v>
      </c>
      <c r="J670" s="11">
        <f t="shared" si="189"/>
        <v>891</v>
      </c>
      <c r="K670" s="5">
        <f t="shared" si="188"/>
        <v>9185.567010309278</v>
      </c>
      <c r="L670" s="39">
        <v>1</v>
      </c>
      <c r="M670" s="37">
        <f t="shared" si="185"/>
        <v>1</v>
      </c>
      <c r="N670" s="38"/>
      <c r="O670" s="46"/>
      <c r="P670" s="42"/>
      <c r="Q670" s="38"/>
      <c r="R670" s="38"/>
      <c r="S670" s="38"/>
      <c r="T670" s="38"/>
      <c r="U670" s="37">
        <f t="shared" si="186"/>
        <v>1</v>
      </c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43"/>
      <c r="AH670" s="44"/>
      <c r="AI670" s="45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  <c r="CH670" s="38"/>
    </row>
    <row r="671" spans="1:86">
      <c r="A671" s="33">
        <v>45944</v>
      </c>
      <c r="B671" s="1" t="s">
        <v>821</v>
      </c>
      <c r="C671" s="1" t="s">
        <v>821</v>
      </c>
      <c r="D671" s="1"/>
      <c r="E671" s="38" t="s">
        <v>41</v>
      </c>
      <c r="F671" s="38">
        <v>100</v>
      </c>
      <c r="G671" s="38"/>
      <c r="H671" s="38">
        <v>97</v>
      </c>
      <c r="I671" s="38">
        <v>889</v>
      </c>
      <c r="J671" s="11">
        <f t="shared" si="189"/>
        <v>889</v>
      </c>
      <c r="K671" s="5">
        <f t="shared" si="188"/>
        <v>9164.9484536082473</v>
      </c>
      <c r="L671" s="39">
        <v>1</v>
      </c>
      <c r="M671" s="37">
        <f t="shared" si="185"/>
        <v>1</v>
      </c>
      <c r="N671" s="38"/>
      <c r="O671" s="46"/>
      <c r="P671" s="42"/>
      <c r="Q671" s="38"/>
      <c r="R671" s="38"/>
      <c r="S671" s="38"/>
      <c r="T671" s="38"/>
      <c r="U671" s="37">
        <f t="shared" si="186"/>
        <v>1</v>
      </c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43"/>
      <c r="AH671" s="44"/>
      <c r="AI671" s="45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  <c r="CH671" s="38"/>
    </row>
    <row r="672" spans="1:86">
      <c r="A672" s="33">
        <v>45944</v>
      </c>
      <c r="B672" s="1" t="s">
        <v>821</v>
      </c>
      <c r="C672" s="1" t="s">
        <v>821</v>
      </c>
      <c r="D672" s="1"/>
      <c r="E672" s="38" t="s">
        <v>41</v>
      </c>
      <c r="F672" s="38">
        <v>100</v>
      </c>
      <c r="G672" s="38" t="s">
        <v>590</v>
      </c>
      <c r="H672" s="38">
        <v>97</v>
      </c>
      <c r="I672" s="38">
        <v>890</v>
      </c>
      <c r="J672" s="11">
        <f t="shared" si="189"/>
        <v>890</v>
      </c>
      <c r="K672" s="5">
        <f t="shared" si="188"/>
        <v>9175.2577319587617</v>
      </c>
      <c r="L672" s="39">
        <v>1</v>
      </c>
      <c r="M672" s="37">
        <f t="shared" si="185"/>
        <v>1</v>
      </c>
      <c r="N672" s="38"/>
      <c r="O672" s="46"/>
      <c r="P672" s="42"/>
      <c r="Q672" s="38"/>
      <c r="R672" s="38"/>
      <c r="S672" s="38"/>
      <c r="T672" s="38"/>
      <c r="U672" s="37">
        <f t="shared" si="186"/>
        <v>1</v>
      </c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43"/>
      <c r="AH672" s="44"/>
      <c r="AI672" s="45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  <c r="BS672" s="38"/>
      <c r="BT672" s="38"/>
      <c r="BU672" s="38"/>
      <c r="BV672" s="38"/>
      <c r="BW672" s="38"/>
      <c r="BX672" s="38"/>
      <c r="BY672" s="38"/>
      <c r="BZ672" s="38"/>
      <c r="CA672" s="38"/>
      <c r="CB672" s="38"/>
      <c r="CC672" s="38"/>
      <c r="CD672" s="38"/>
      <c r="CE672" s="38"/>
      <c r="CF672" s="38"/>
      <c r="CG672" s="38"/>
      <c r="CH672" s="38"/>
    </row>
    <row r="673" spans="1:86">
      <c r="A673" s="33">
        <v>45944</v>
      </c>
      <c r="B673" s="1" t="s">
        <v>821</v>
      </c>
      <c r="C673" s="1" t="s">
        <v>821</v>
      </c>
      <c r="D673" s="1"/>
      <c r="E673" s="38" t="s">
        <v>41</v>
      </c>
      <c r="F673" s="38">
        <v>100</v>
      </c>
      <c r="G673" s="38" t="s">
        <v>590</v>
      </c>
      <c r="H673" s="38">
        <v>97</v>
      </c>
      <c r="I673" s="38">
        <v>903</v>
      </c>
      <c r="J673" s="11">
        <f t="shared" si="189"/>
        <v>903</v>
      </c>
      <c r="K673" s="5">
        <f t="shared" si="188"/>
        <v>9309.2783505154639</v>
      </c>
      <c r="L673" s="39">
        <v>1</v>
      </c>
      <c r="M673" s="37">
        <f t="shared" si="185"/>
        <v>1</v>
      </c>
      <c r="N673" s="38"/>
      <c r="O673" s="46"/>
      <c r="P673" s="42"/>
      <c r="Q673" s="38"/>
      <c r="R673" s="38"/>
      <c r="S673" s="38"/>
      <c r="T673" s="38"/>
      <c r="U673" s="37">
        <f t="shared" si="186"/>
        <v>1</v>
      </c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43"/>
      <c r="AH673" s="44"/>
      <c r="AI673" s="45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  <c r="CH673" s="38"/>
    </row>
    <row r="674" spans="1:86">
      <c r="A674" s="33">
        <v>45944</v>
      </c>
      <c r="B674" s="1" t="s">
        <v>821</v>
      </c>
      <c r="C674" s="1" t="s">
        <v>821</v>
      </c>
      <c r="D674" s="1"/>
      <c r="E674" s="38" t="s">
        <v>41</v>
      </c>
      <c r="F674" s="38">
        <v>100</v>
      </c>
      <c r="G674" s="38" t="s">
        <v>590</v>
      </c>
      <c r="H674" s="38">
        <v>97</v>
      </c>
      <c r="I674" s="38">
        <v>902</v>
      </c>
      <c r="J674" s="11">
        <f t="shared" si="189"/>
        <v>902</v>
      </c>
      <c r="K674" s="5">
        <f t="shared" si="188"/>
        <v>9298.9690721649476</v>
      </c>
      <c r="L674" s="39">
        <v>1</v>
      </c>
      <c r="M674" s="37">
        <f t="shared" si="185"/>
        <v>1</v>
      </c>
      <c r="N674" s="38"/>
      <c r="O674" s="46"/>
      <c r="P674" s="42"/>
      <c r="Q674" s="38"/>
      <c r="R674" s="38"/>
      <c r="S674" s="38"/>
      <c r="T674" s="38"/>
      <c r="U674" s="37">
        <f t="shared" si="186"/>
        <v>1</v>
      </c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43"/>
      <c r="AH674" s="44"/>
      <c r="AI674" s="45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</row>
    <row r="675" spans="1:86">
      <c r="A675" s="33">
        <v>45944</v>
      </c>
      <c r="B675" s="1" t="s">
        <v>821</v>
      </c>
      <c r="C675" s="1" t="s">
        <v>821</v>
      </c>
      <c r="D675" s="1"/>
      <c r="E675" s="38" t="s">
        <v>41</v>
      </c>
      <c r="F675" s="38">
        <v>100</v>
      </c>
      <c r="G675" s="38" t="s">
        <v>590</v>
      </c>
      <c r="H675" s="38">
        <v>97</v>
      </c>
      <c r="I675" s="38">
        <v>898</v>
      </c>
      <c r="J675" s="11">
        <f t="shared" si="189"/>
        <v>1796</v>
      </c>
      <c r="K675" s="5">
        <f t="shared" si="188"/>
        <v>18515.463917525773</v>
      </c>
      <c r="L675" s="39">
        <v>2</v>
      </c>
      <c r="M675" s="37">
        <f t="shared" si="185"/>
        <v>2</v>
      </c>
      <c r="N675" s="38"/>
      <c r="O675" s="46"/>
      <c r="P675" s="42"/>
      <c r="Q675" s="38"/>
      <c r="R675" s="38"/>
      <c r="S675" s="38"/>
      <c r="T675" s="38"/>
      <c r="U675" s="37">
        <f t="shared" si="186"/>
        <v>2</v>
      </c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43"/>
      <c r="AH675" s="44"/>
      <c r="AI675" s="45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  <c r="CH675" s="38"/>
    </row>
    <row r="676" spans="1:86">
      <c r="A676" s="33">
        <v>45944</v>
      </c>
      <c r="B676" s="1" t="s">
        <v>821</v>
      </c>
      <c r="C676" s="1" t="s">
        <v>821</v>
      </c>
      <c r="D676" s="1"/>
      <c r="E676" s="38" t="s">
        <v>41</v>
      </c>
      <c r="F676" s="38">
        <v>100</v>
      </c>
      <c r="G676" s="38" t="s">
        <v>590</v>
      </c>
      <c r="H676" s="38">
        <v>97</v>
      </c>
      <c r="I676" s="38">
        <v>897</v>
      </c>
      <c r="J676" s="11">
        <f t="shared" si="189"/>
        <v>897</v>
      </c>
      <c r="K676" s="5">
        <f t="shared" si="188"/>
        <v>9247.42268041237</v>
      </c>
      <c r="L676" s="39">
        <v>1</v>
      </c>
      <c r="M676" s="37">
        <f t="shared" si="185"/>
        <v>1</v>
      </c>
      <c r="N676" s="38"/>
      <c r="O676" s="46"/>
      <c r="P676" s="42"/>
      <c r="Q676" s="38"/>
      <c r="R676" s="38"/>
      <c r="S676" s="38"/>
      <c r="T676" s="38"/>
      <c r="U676" s="37">
        <f t="shared" si="186"/>
        <v>1</v>
      </c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43"/>
      <c r="AH676" s="44"/>
      <c r="AI676" s="45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  <c r="CH676" s="38"/>
    </row>
    <row r="677" spans="1:86">
      <c r="A677" s="33">
        <v>45944</v>
      </c>
      <c r="B677" s="1" t="s">
        <v>821</v>
      </c>
      <c r="C677" s="1" t="s">
        <v>821</v>
      </c>
      <c r="D677" s="1"/>
      <c r="E677" s="38" t="s">
        <v>41</v>
      </c>
      <c r="F677" s="38">
        <v>100</v>
      </c>
      <c r="G677" s="38" t="s">
        <v>590</v>
      </c>
      <c r="H677" s="38">
        <v>97</v>
      </c>
      <c r="I677" s="38">
        <v>920</v>
      </c>
      <c r="J677" s="11">
        <f t="shared" si="189"/>
        <v>1840</v>
      </c>
      <c r="K677" s="5">
        <f t="shared" si="188"/>
        <v>18969.072164948451</v>
      </c>
      <c r="L677" s="39">
        <v>2</v>
      </c>
      <c r="M677" s="37">
        <f t="shared" si="185"/>
        <v>2</v>
      </c>
      <c r="N677" s="38"/>
      <c r="O677" s="46"/>
      <c r="P677" s="42"/>
      <c r="Q677" s="38"/>
      <c r="R677" s="38"/>
      <c r="S677" s="38"/>
      <c r="T677" s="38"/>
      <c r="U677" s="37">
        <f t="shared" si="186"/>
        <v>2</v>
      </c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43"/>
      <c r="AH677" s="44"/>
      <c r="AI677" s="45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  <c r="CH677" s="38"/>
    </row>
    <row r="678" spans="1:86">
      <c r="A678" s="33">
        <v>45944</v>
      </c>
      <c r="B678" s="1" t="s">
        <v>821</v>
      </c>
      <c r="C678" s="1" t="s">
        <v>821</v>
      </c>
      <c r="D678" s="1"/>
      <c r="E678" s="38" t="s">
        <v>41</v>
      </c>
      <c r="F678" s="38">
        <v>100</v>
      </c>
      <c r="G678" s="38" t="s">
        <v>590</v>
      </c>
      <c r="H678" s="38">
        <v>97</v>
      </c>
      <c r="I678" s="38">
        <v>927</v>
      </c>
      <c r="J678" s="11">
        <f t="shared" si="189"/>
        <v>1854</v>
      </c>
      <c r="K678" s="5">
        <f t="shared" si="188"/>
        <v>19113.402061855668</v>
      </c>
      <c r="L678" s="39">
        <v>2</v>
      </c>
      <c r="M678" s="37">
        <f t="shared" si="185"/>
        <v>2</v>
      </c>
      <c r="N678" s="38"/>
      <c r="O678" s="46"/>
      <c r="P678" s="42"/>
      <c r="Q678" s="38"/>
      <c r="R678" s="38"/>
      <c r="S678" s="38"/>
      <c r="T678" s="38"/>
      <c r="U678" s="37">
        <f t="shared" si="186"/>
        <v>2</v>
      </c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43"/>
      <c r="AH678" s="44"/>
      <c r="AI678" s="45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  <c r="CH678" s="38"/>
    </row>
    <row r="679" spans="1:86">
      <c r="A679" s="33">
        <v>45944</v>
      </c>
      <c r="B679" s="1" t="s">
        <v>821</v>
      </c>
      <c r="C679" s="1" t="s">
        <v>821</v>
      </c>
      <c r="D679" s="1"/>
      <c r="E679" s="38" t="s">
        <v>41</v>
      </c>
      <c r="F679" s="38">
        <v>100</v>
      </c>
      <c r="G679" s="38" t="s">
        <v>590</v>
      </c>
      <c r="H679" s="38">
        <v>97</v>
      </c>
      <c r="I679" s="38">
        <v>925</v>
      </c>
      <c r="J679" s="11">
        <f t="shared" si="189"/>
        <v>1850</v>
      </c>
      <c r="K679" s="5">
        <f t="shared" si="188"/>
        <v>19072.164948453606</v>
      </c>
      <c r="L679" s="39">
        <v>2</v>
      </c>
      <c r="M679" s="37">
        <f t="shared" si="185"/>
        <v>2</v>
      </c>
      <c r="N679" s="38"/>
      <c r="O679" s="46"/>
      <c r="P679" s="42"/>
      <c r="Q679" s="38"/>
      <c r="R679" s="38"/>
      <c r="S679" s="38"/>
      <c r="T679" s="38"/>
      <c r="U679" s="37">
        <f t="shared" si="186"/>
        <v>2</v>
      </c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43"/>
      <c r="AH679" s="44"/>
      <c r="AI679" s="45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  <c r="BW679" s="38"/>
      <c r="BX679" s="38"/>
      <c r="BY679" s="38"/>
      <c r="BZ679" s="38"/>
      <c r="CA679" s="38"/>
      <c r="CB679" s="38"/>
      <c r="CC679" s="38"/>
      <c r="CD679" s="38"/>
      <c r="CE679" s="38"/>
      <c r="CF679" s="38"/>
      <c r="CG679" s="38"/>
      <c r="CH679" s="38"/>
    </row>
    <row r="680" spans="1:86">
      <c r="A680" s="33">
        <v>45944</v>
      </c>
      <c r="B680" s="1" t="s">
        <v>821</v>
      </c>
      <c r="C680" s="1" t="s">
        <v>821</v>
      </c>
      <c r="D680" s="1"/>
      <c r="E680" s="38" t="s">
        <v>41</v>
      </c>
      <c r="F680" s="38">
        <v>100</v>
      </c>
      <c r="G680" s="38" t="s">
        <v>590</v>
      </c>
      <c r="H680" s="38">
        <v>97</v>
      </c>
      <c r="I680" s="38">
        <v>924</v>
      </c>
      <c r="J680" s="11">
        <f t="shared" si="189"/>
        <v>1848</v>
      </c>
      <c r="K680" s="5">
        <f t="shared" si="188"/>
        <v>19051.546391752578</v>
      </c>
      <c r="L680" s="39">
        <v>2</v>
      </c>
      <c r="M680" s="37">
        <f t="shared" si="185"/>
        <v>2</v>
      </c>
      <c r="N680" s="38"/>
      <c r="O680" s="46"/>
      <c r="P680" s="42"/>
      <c r="Q680" s="38"/>
      <c r="R680" s="38"/>
      <c r="S680" s="38"/>
      <c r="T680" s="38"/>
      <c r="U680" s="37">
        <f t="shared" si="186"/>
        <v>2</v>
      </c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43"/>
      <c r="AH680" s="44"/>
      <c r="AI680" s="45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  <c r="BS680" s="38"/>
      <c r="BT680" s="38"/>
      <c r="BU680" s="38"/>
      <c r="BV680" s="38"/>
      <c r="BW680" s="38"/>
      <c r="BX680" s="38"/>
      <c r="BY680" s="38"/>
      <c r="BZ680" s="38"/>
      <c r="CA680" s="38"/>
      <c r="CB680" s="38"/>
      <c r="CC680" s="38"/>
      <c r="CD680" s="38"/>
      <c r="CE680" s="38"/>
      <c r="CF680" s="38"/>
      <c r="CG680" s="38"/>
      <c r="CH680" s="38"/>
    </row>
    <row r="681" spans="1:86">
      <c r="A681" s="33">
        <v>45944</v>
      </c>
      <c r="B681" s="1" t="s">
        <v>821</v>
      </c>
      <c r="C681" s="1" t="s">
        <v>821</v>
      </c>
      <c r="D681" s="1"/>
      <c r="E681" s="38" t="s">
        <v>41</v>
      </c>
      <c r="F681" s="38">
        <v>100</v>
      </c>
      <c r="G681" s="38" t="s">
        <v>590</v>
      </c>
      <c r="H681" s="38">
        <v>97</v>
      </c>
      <c r="I681" s="38">
        <v>923</v>
      </c>
      <c r="J681" s="11">
        <f t="shared" si="189"/>
        <v>2769</v>
      </c>
      <c r="K681" s="5">
        <f t="shared" si="188"/>
        <v>28546.391752577318</v>
      </c>
      <c r="L681" s="39">
        <v>3</v>
      </c>
      <c r="M681" s="37">
        <f t="shared" si="185"/>
        <v>3</v>
      </c>
      <c r="N681" s="38"/>
      <c r="O681" s="46"/>
      <c r="P681" s="42"/>
      <c r="Q681" s="38"/>
      <c r="R681" s="38"/>
      <c r="S681" s="38"/>
      <c r="T681" s="38"/>
      <c r="U681" s="37">
        <f t="shared" si="186"/>
        <v>3</v>
      </c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43"/>
      <c r="AH681" s="44"/>
      <c r="AI681" s="45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  <c r="BS681" s="38"/>
      <c r="BT681" s="38"/>
      <c r="BU681" s="38"/>
      <c r="BV681" s="38"/>
      <c r="BW681" s="38"/>
      <c r="BX681" s="38"/>
      <c r="BY681" s="38"/>
      <c r="BZ681" s="38"/>
      <c r="CA681" s="38"/>
      <c r="CB681" s="38"/>
      <c r="CC681" s="38"/>
      <c r="CD681" s="38"/>
      <c r="CE681" s="38"/>
      <c r="CF681" s="38"/>
      <c r="CG681" s="38"/>
      <c r="CH681" s="38"/>
    </row>
    <row r="682" spans="1:86">
      <c r="A682" s="33">
        <v>45944</v>
      </c>
      <c r="B682" s="1" t="s">
        <v>821</v>
      </c>
      <c r="C682" s="1" t="s">
        <v>821</v>
      </c>
      <c r="D682" s="1"/>
      <c r="E682" s="38" t="s">
        <v>41</v>
      </c>
      <c r="F682" s="38">
        <v>100</v>
      </c>
      <c r="G682" s="38" t="s">
        <v>590</v>
      </c>
      <c r="H682" s="38">
        <v>97</v>
      </c>
      <c r="I682" s="38">
        <v>921</v>
      </c>
      <c r="J682" s="11">
        <f t="shared" si="189"/>
        <v>1842</v>
      </c>
      <c r="K682" s="5">
        <f t="shared" si="188"/>
        <v>18989.690721649484</v>
      </c>
      <c r="L682" s="39">
        <v>2</v>
      </c>
      <c r="M682" s="37">
        <f t="shared" si="185"/>
        <v>2</v>
      </c>
      <c r="N682" s="38"/>
      <c r="O682" s="46"/>
      <c r="P682" s="42"/>
      <c r="Q682" s="38"/>
      <c r="R682" s="38"/>
      <c r="S682" s="38"/>
      <c r="T682" s="38"/>
      <c r="U682" s="37">
        <f t="shared" si="186"/>
        <v>2</v>
      </c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43"/>
      <c r="AH682" s="44"/>
      <c r="AI682" s="45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  <c r="BS682" s="38"/>
      <c r="BT682" s="38"/>
      <c r="BU682" s="38"/>
      <c r="BV682" s="38"/>
      <c r="BW682" s="38"/>
      <c r="BX682" s="38"/>
      <c r="BY682" s="38"/>
      <c r="BZ682" s="38"/>
      <c r="CA682" s="38"/>
      <c r="CB682" s="38"/>
      <c r="CC682" s="38"/>
      <c r="CD682" s="38"/>
      <c r="CE682" s="38"/>
      <c r="CF682" s="38"/>
      <c r="CG682" s="38"/>
      <c r="CH682" s="38"/>
    </row>
    <row r="683" spans="1:86">
      <c r="A683" s="33">
        <v>45944</v>
      </c>
      <c r="B683" s="1" t="s">
        <v>821</v>
      </c>
      <c r="C683" s="1" t="s">
        <v>821</v>
      </c>
      <c r="D683" s="1"/>
      <c r="E683" s="38" t="s">
        <v>41</v>
      </c>
      <c r="F683" s="38">
        <v>100</v>
      </c>
      <c r="G683" s="38" t="s">
        <v>590</v>
      </c>
      <c r="H683" s="38">
        <v>97</v>
      </c>
      <c r="I683" s="38">
        <v>928</v>
      </c>
      <c r="J683" s="11">
        <f t="shared" si="189"/>
        <v>1856</v>
      </c>
      <c r="K683" s="5">
        <f t="shared" si="188"/>
        <v>19134.0206185567</v>
      </c>
      <c r="L683" s="39">
        <v>2</v>
      </c>
      <c r="M683" s="37">
        <f t="shared" si="185"/>
        <v>2</v>
      </c>
      <c r="N683" s="38"/>
      <c r="O683" s="46"/>
      <c r="P683" s="42"/>
      <c r="Q683" s="38"/>
      <c r="R683" s="38"/>
      <c r="S683" s="38"/>
      <c r="T683" s="38"/>
      <c r="U683" s="37">
        <f t="shared" si="186"/>
        <v>2</v>
      </c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43"/>
      <c r="AH683" s="44"/>
      <c r="AI683" s="45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  <c r="BS683" s="38"/>
      <c r="BT683" s="38"/>
      <c r="BU683" s="38"/>
      <c r="BV683" s="38"/>
      <c r="BW683" s="38"/>
      <c r="BX683" s="38"/>
      <c r="BY683" s="38"/>
      <c r="BZ683" s="38"/>
      <c r="CA683" s="38"/>
      <c r="CB683" s="38"/>
      <c r="CC683" s="38"/>
      <c r="CD683" s="38"/>
      <c r="CE683" s="38"/>
      <c r="CF683" s="38"/>
      <c r="CG683" s="38"/>
      <c r="CH683" s="38"/>
    </row>
    <row r="684" spans="1:86">
      <c r="A684" s="33">
        <v>45944</v>
      </c>
      <c r="B684" s="1" t="s">
        <v>821</v>
      </c>
      <c r="C684" s="1" t="s">
        <v>821</v>
      </c>
      <c r="D684" s="1"/>
      <c r="E684" s="38" t="s">
        <v>41</v>
      </c>
      <c r="F684" s="38">
        <v>100</v>
      </c>
      <c r="G684" s="38" t="s">
        <v>590</v>
      </c>
      <c r="H684" s="38">
        <v>97</v>
      </c>
      <c r="I684" s="38">
        <v>930</v>
      </c>
      <c r="J684" s="11">
        <f t="shared" si="189"/>
        <v>930</v>
      </c>
      <c r="K684" s="5">
        <f t="shared" si="188"/>
        <v>9587.6288659793809</v>
      </c>
      <c r="L684" s="39">
        <v>1</v>
      </c>
      <c r="M684" s="37">
        <f t="shared" si="185"/>
        <v>1</v>
      </c>
      <c r="N684" s="38"/>
      <c r="O684" s="46"/>
      <c r="P684" s="42"/>
      <c r="Q684" s="38"/>
      <c r="R684" s="38"/>
      <c r="S684" s="38"/>
      <c r="T684" s="38"/>
      <c r="U684" s="37">
        <f t="shared" si="186"/>
        <v>1</v>
      </c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43"/>
      <c r="AH684" s="44"/>
      <c r="AI684" s="45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  <c r="BS684" s="38"/>
      <c r="BT684" s="38"/>
      <c r="BU684" s="38"/>
      <c r="BV684" s="38"/>
      <c r="BW684" s="38"/>
      <c r="BX684" s="38"/>
      <c r="BY684" s="38"/>
      <c r="BZ684" s="38"/>
      <c r="CA684" s="38"/>
      <c r="CB684" s="38"/>
      <c r="CC684" s="38"/>
      <c r="CD684" s="38"/>
      <c r="CE684" s="38"/>
      <c r="CF684" s="38"/>
      <c r="CG684" s="38"/>
      <c r="CH684" s="38"/>
    </row>
    <row r="685" spans="1:86">
      <c r="A685" s="33">
        <v>45944</v>
      </c>
      <c r="B685" s="1" t="s">
        <v>821</v>
      </c>
      <c r="C685" s="1" t="s">
        <v>821</v>
      </c>
      <c r="D685" s="1"/>
      <c r="E685" s="38" t="s">
        <v>41</v>
      </c>
      <c r="F685" s="38">
        <v>100</v>
      </c>
      <c r="G685" s="38" t="s">
        <v>590</v>
      </c>
      <c r="H685" s="38">
        <v>97</v>
      </c>
      <c r="I685" s="38">
        <v>936</v>
      </c>
      <c r="J685" s="11">
        <f t="shared" si="189"/>
        <v>936</v>
      </c>
      <c r="K685" s="5">
        <f t="shared" si="188"/>
        <v>9649.4845360824747</v>
      </c>
      <c r="L685" s="39">
        <v>1</v>
      </c>
      <c r="M685" s="37">
        <f t="shared" si="185"/>
        <v>1</v>
      </c>
      <c r="N685" s="38"/>
      <c r="O685" s="46"/>
      <c r="P685" s="42"/>
      <c r="Q685" s="38"/>
      <c r="R685" s="38"/>
      <c r="S685" s="38"/>
      <c r="T685" s="38"/>
      <c r="U685" s="37">
        <f t="shared" si="186"/>
        <v>1</v>
      </c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43"/>
      <c r="AH685" s="44"/>
      <c r="AI685" s="45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8"/>
      <c r="CF685" s="38"/>
      <c r="CG685" s="38"/>
      <c r="CH685" s="38"/>
    </row>
    <row r="686" spans="1:86">
      <c r="A686" s="33">
        <v>45944</v>
      </c>
      <c r="B686" s="1" t="s">
        <v>821</v>
      </c>
      <c r="C686" s="1" t="s">
        <v>821</v>
      </c>
      <c r="D686" s="1"/>
      <c r="E686" s="38" t="s">
        <v>41</v>
      </c>
      <c r="F686" s="38">
        <v>100</v>
      </c>
      <c r="G686" s="38" t="s">
        <v>590</v>
      </c>
      <c r="H686" s="38">
        <v>97</v>
      </c>
      <c r="I686" s="38">
        <v>935</v>
      </c>
      <c r="J686" s="11">
        <f t="shared" si="189"/>
        <v>935</v>
      </c>
      <c r="K686" s="5">
        <f t="shared" si="188"/>
        <v>9639.1752577319585</v>
      </c>
      <c r="L686" s="39">
        <v>1</v>
      </c>
      <c r="M686" s="37">
        <f t="shared" si="185"/>
        <v>1</v>
      </c>
      <c r="N686" s="38"/>
      <c r="O686" s="46"/>
      <c r="P686" s="42"/>
      <c r="Q686" s="38"/>
      <c r="R686" s="38"/>
      <c r="S686" s="38"/>
      <c r="T686" s="38"/>
      <c r="U686" s="37">
        <f t="shared" si="186"/>
        <v>1</v>
      </c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43"/>
      <c r="AH686" s="44"/>
      <c r="AI686" s="45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  <c r="BW686" s="38"/>
      <c r="BX686" s="38"/>
      <c r="BY686" s="38"/>
      <c r="BZ686" s="38"/>
      <c r="CA686" s="38"/>
      <c r="CB686" s="38"/>
      <c r="CC686" s="38"/>
      <c r="CD686" s="38"/>
      <c r="CE686" s="38"/>
      <c r="CF686" s="38"/>
      <c r="CG686" s="38"/>
      <c r="CH686" s="38"/>
    </row>
    <row r="687" spans="1:86">
      <c r="A687" s="33">
        <v>45944</v>
      </c>
      <c r="B687" s="1" t="s">
        <v>821</v>
      </c>
      <c r="C687" s="1" t="s">
        <v>821</v>
      </c>
      <c r="D687" s="1"/>
      <c r="E687" s="38" t="s">
        <v>41</v>
      </c>
      <c r="F687" s="38">
        <v>100</v>
      </c>
      <c r="G687" s="38" t="s">
        <v>590</v>
      </c>
      <c r="H687" s="38">
        <v>97</v>
      </c>
      <c r="I687" s="38">
        <v>933</v>
      </c>
      <c r="J687" s="11">
        <f t="shared" si="189"/>
        <v>933</v>
      </c>
      <c r="K687" s="5">
        <f t="shared" si="188"/>
        <v>9618.5567010309278</v>
      </c>
      <c r="L687" s="39">
        <v>1</v>
      </c>
      <c r="M687" s="37">
        <f t="shared" si="185"/>
        <v>1</v>
      </c>
      <c r="N687" s="38"/>
      <c r="O687" s="46"/>
      <c r="P687" s="42"/>
      <c r="Q687" s="38"/>
      <c r="R687" s="38"/>
      <c r="S687" s="38"/>
      <c r="T687" s="38"/>
      <c r="U687" s="37">
        <f t="shared" si="186"/>
        <v>1</v>
      </c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43"/>
      <c r="AH687" s="44"/>
      <c r="AI687" s="45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  <c r="BS687" s="38"/>
      <c r="BT687" s="38"/>
      <c r="BU687" s="38"/>
      <c r="BV687" s="38"/>
      <c r="BW687" s="38"/>
      <c r="BX687" s="38"/>
      <c r="BY687" s="38"/>
      <c r="BZ687" s="38"/>
      <c r="CA687" s="38"/>
      <c r="CB687" s="38"/>
      <c r="CC687" s="38"/>
      <c r="CD687" s="38"/>
      <c r="CE687" s="38"/>
      <c r="CF687" s="38"/>
      <c r="CG687" s="38"/>
      <c r="CH687" s="38"/>
    </row>
    <row r="688" spans="1:86">
      <c r="A688" s="33">
        <v>45944</v>
      </c>
      <c r="B688" s="1" t="s">
        <v>834</v>
      </c>
      <c r="C688" s="1" t="s">
        <v>834</v>
      </c>
      <c r="D688" s="1"/>
      <c r="E688" s="38" t="s">
        <v>41</v>
      </c>
      <c r="F688" s="38">
        <v>100</v>
      </c>
      <c r="G688" s="38" t="s">
        <v>590</v>
      </c>
      <c r="H688" s="38">
        <v>123</v>
      </c>
      <c r="I688" s="38">
        <v>1069</v>
      </c>
      <c r="J688" s="11">
        <f t="shared" si="189"/>
        <v>1069</v>
      </c>
      <c r="K688" s="5">
        <f t="shared" si="188"/>
        <v>8691.0569105691047</v>
      </c>
      <c r="L688" s="39">
        <v>1</v>
      </c>
      <c r="M688" s="37">
        <f t="shared" si="185"/>
        <v>1</v>
      </c>
      <c r="N688" s="38"/>
      <c r="O688" s="46"/>
      <c r="P688" s="42"/>
      <c r="Q688" s="38"/>
      <c r="R688" s="38"/>
      <c r="S688" s="38"/>
      <c r="T688" s="38"/>
      <c r="U688" s="37">
        <f t="shared" si="186"/>
        <v>1</v>
      </c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43"/>
      <c r="AH688" s="44"/>
      <c r="AI688" s="45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  <c r="BS688" s="38"/>
      <c r="BT688" s="38"/>
      <c r="BU688" s="38"/>
      <c r="BV688" s="38"/>
      <c r="BW688" s="38"/>
      <c r="BX688" s="38"/>
      <c r="BY688" s="38"/>
      <c r="BZ688" s="38"/>
      <c r="CA688" s="38"/>
      <c r="CB688" s="38"/>
      <c r="CC688" s="38"/>
      <c r="CD688" s="38"/>
      <c r="CE688" s="38"/>
      <c r="CF688" s="38"/>
      <c r="CG688" s="38"/>
      <c r="CH688" s="38"/>
    </row>
    <row r="689" spans="1:86">
      <c r="A689" s="33">
        <v>45944</v>
      </c>
      <c r="B689" s="1" t="s">
        <v>834</v>
      </c>
      <c r="C689" s="1" t="s">
        <v>834</v>
      </c>
      <c r="D689" s="1"/>
      <c r="E689" s="38" t="s">
        <v>41</v>
      </c>
      <c r="F689" s="38">
        <v>100</v>
      </c>
      <c r="G689" s="38" t="s">
        <v>590</v>
      </c>
      <c r="H689" s="38">
        <v>123</v>
      </c>
      <c r="I689" s="38">
        <v>1088</v>
      </c>
      <c r="J689" s="11">
        <f t="shared" si="189"/>
        <v>1088</v>
      </c>
      <c r="K689" s="5">
        <f t="shared" si="188"/>
        <v>8845.5284552845515</v>
      </c>
      <c r="L689" s="39">
        <v>1</v>
      </c>
      <c r="M689" s="37">
        <f t="shared" si="185"/>
        <v>1</v>
      </c>
      <c r="N689" s="38"/>
      <c r="O689" s="46"/>
      <c r="P689" s="42"/>
      <c r="Q689" s="38"/>
      <c r="R689" s="38"/>
      <c r="S689" s="38"/>
      <c r="T689" s="38"/>
      <c r="U689" s="37">
        <f t="shared" si="186"/>
        <v>1</v>
      </c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43"/>
      <c r="AH689" s="44"/>
      <c r="AI689" s="45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8"/>
      <c r="CF689" s="38"/>
      <c r="CG689" s="38"/>
      <c r="CH689" s="38"/>
    </row>
    <row r="690" spans="1:86">
      <c r="A690" s="33">
        <v>45944</v>
      </c>
      <c r="B690" s="1" t="s">
        <v>825</v>
      </c>
      <c r="C690" s="1" t="s">
        <v>825</v>
      </c>
      <c r="D690" s="1"/>
      <c r="E690" s="38" t="s">
        <v>50</v>
      </c>
      <c r="F690" s="38">
        <v>110</v>
      </c>
      <c r="G690" s="38" t="s">
        <v>590</v>
      </c>
      <c r="H690" s="38">
        <v>68</v>
      </c>
      <c r="I690" s="38">
        <v>728</v>
      </c>
      <c r="J690" s="11">
        <f t="shared" si="189"/>
        <v>1456</v>
      </c>
      <c r="K690" s="5">
        <f t="shared" si="188"/>
        <v>19465.240641711229</v>
      </c>
      <c r="L690" s="39">
        <v>2</v>
      </c>
      <c r="M690" s="37">
        <f t="shared" si="185"/>
        <v>2</v>
      </c>
      <c r="N690" s="38"/>
      <c r="O690" s="46"/>
      <c r="P690" s="42"/>
      <c r="Q690" s="38"/>
      <c r="R690" s="38"/>
      <c r="S690" s="38"/>
      <c r="T690" s="38"/>
      <c r="U690" s="37">
        <f t="shared" si="186"/>
        <v>2</v>
      </c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43"/>
      <c r="AH690" s="44"/>
      <c r="AI690" s="45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8"/>
      <c r="CF690" s="38"/>
      <c r="CG690" s="38"/>
      <c r="CH690" s="38"/>
    </row>
    <row r="691" spans="1:86">
      <c r="A691" s="33">
        <v>45944</v>
      </c>
      <c r="B691" s="1" t="s">
        <v>825</v>
      </c>
      <c r="C691" s="1" t="s">
        <v>825</v>
      </c>
      <c r="D691" s="1"/>
      <c r="E691" s="38" t="s">
        <v>50</v>
      </c>
      <c r="F691" s="38">
        <v>110</v>
      </c>
      <c r="G691" s="38" t="s">
        <v>590</v>
      </c>
      <c r="H691" s="38">
        <v>68</v>
      </c>
      <c r="I691" s="38">
        <v>727</v>
      </c>
      <c r="J691" s="11">
        <f t="shared" si="189"/>
        <v>1454</v>
      </c>
      <c r="K691" s="5">
        <f t="shared" si="188"/>
        <v>19438.502673796789</v>
      </c>
      <c r="L691" s="39">
        <v>2</v>
      </c>
      <c r="M691" s="37">
        <f t="shared" ref="M691:M741" si="190">+L691-X691-Z691-AD691-AB691-AF691-AH691-AJ691-AL691-AO691-AQ691-AS691-AU691-AW691-AY691-BA691-BC691-BE691-BG691-BI691-BK691-BM691-BO691-BQ691-BS691-BU691-BW691-BY691-CA691-CC691-CE691-CG691</f>
        <v>2</v>
      </c>
      <c r="N691" s="38"/>
      <c r="O691" s="46"/>
      <c r="P691" s="42"/>
      <c r="Q691" s="38"/>
      <c r="R691" s="38"/>
      <c r="S691" s="38"/>
      <c r="T691" s="38"/>
      <c r="U691" s="37">
        <f t="shared" ref="U691:U741" si="191">+L691-X691-Z691-AD691-AB691-AF691-AH691-AJ691-AL691-AO691-AQ691-AS691-AU691-AW691-AY691-BA691-BC691-BE691-BG691-BI691-BK691-BM691-BO691-BQ691-BS691-BU691-BW691-BY691-CA691-CC691-CE691-CG691</f>
        <v>2</v>
      </c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43"/>
      <c r="AH691" s="44"/>
      <c r="AI691" s="45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  <c r="BS691" s="38"/>
      <c r="BT691" s="38"/>
      <c r="BU691" s="38"/>
      <c r="BV691" s="38"/>
      <c r="BW691" s="38"/>
      <c r="BX691" s="38"/>
      <c r="BY691" s="38"/>
      <c r="BZ691" s="38"/>
      <c r="CA691" s="38"/>
      <c r="CB691" s="38"/>
      <c r="CC691" s="38"/>
      <c r="CD691" s="38"/>
      <c r="CE691" s="38"/>
      <c r="CF691" s="38"/>
      <c r="CG691" s="38"/>
      <c r="CH691" s="38"/>
    </row>
    <row r="692" spans="1:86">
      <c r="A692" s="33">
        <v>45944</v>
      </c>
      <c r="B692" s="1" t="s">
        <v>825</v>
      </c>
      <c r="C692" s="1" t="s">
        <v>825</v>
      </c>
      <c r="D692" s="1"/>
      <c r="E692" s="38" t="s">
        <v>50</v>
      </c>
      <c r="F692" s="38">
        <v>110</v>
      </c>
      <c r="G692" s="38" t="s">
        <v>590</v>
      </c>
      <c r="H692" s="38">
        <v>68</v>
      </c>
      <c r="I692" s="38">
        <v>719</v>
      </c>
      <c r="J692" s="11">
        <f t="shared" si="189"/>
        <v>719</v>
      </c>
      <c r="K692" s="5">
        <f t="shared" si="188"/>
        <v>9612.2994652406414</v>
      </c>
      <c r="L692" s="39">
        <v>1</v>
      </c>
      <c r="M692" s="37">
        <f t="shared" si="190"/>
        <v>1</v>
      </c>
      <c r="N692" s="38"/>
      <c r="O692" s="46"/>
      <c r="P692" s="42"/>
      <c r="Q692" s="38"/>
      <c r="R692" s="38"/>
      <c r="S692" s="38"/>
      <c r="T692" s="38"/>
      <c r="U692" s="37">
        <f t="shared" si="191"/>
        <v>1</v>
      </c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43"/>
      <c r="AH692" s="44"/>
      <c r="AI692" s="45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8"/>
      <c r="CF692" s="38"/>
      <c r="CG692" s="38"/>
      <c r="CH692" s="38"/>
    </row>
    <row r="693" spans="1:86">
      <c r="A693" s="33">
        <v>45944</v>
      </c>
      <c r="B693" s="1" t="s">
        <v>825</v>
      </c>
      <c r="C693" s="1" t="s">
        <v>825</v>
      </c>
      <c r="D693" s="1"/>
      <c r="E693" s="38" t="s">
        <v>50</v>
      </c>
      <c r="F693" s="38">
        <v>110</v>
      </c>
      <c r="G693" s="38" t="s">
        <v>590</v>
      </c>
      <c r="H693" s="38">
        <v>68</v>
      </c>
      <c r="I693" s="38">
        <v>726</v>
      </c>
      <c r="J693" s="11">
        <f t="shared" si="189"/>
        <v>1452</v>
      </c>
      <c r="K693" s="5">
        <f t="shared" si="188"/>
        <v>19411.764705882353</v>
      </c>
      <c r="L693" s="39">
        <v>2</v>
      </c>
      <c r="M693" s="37">
        <f t="shared" si="190"/>
        <v>2</v>
      </c>
      <c r="N693" s="38"/>
      <c r="O693" s="46"/>
      <c r="P693" s="42"/>
      <c r="Q693" s="38"/>
      <c r="R693" s="38"/>
      <c r="S693" s="38"/>
      <c r="T693" s="38"/>
      <c r="U693" s="37">
        <f t="shared" si="191"/>
        <v>2</v>
      </c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43"/>
      <c r="AH693" s="44"/>
      <c r="AI693" s="45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8"/>
      <c r="CF693" s="38"/>
      <c r="CG693" s="38"/>
      <c r="CH693" s="38"/>
    </row>
    <row r="694" spans="1:86">
      <c r="A694" s="33">
        <v>45944</v>
      </c>
      <c r="B694" s="1" t="s">
        <v>825</v>
      </c>
      <c r="C694" s="1" t="s">
        <v>825</v>
      </c>
      <c r="D694" s="1"/>
      <c r="E694" s="38" t="s">
        <v>50</v>
      </c>
      <c r="F694" s="38">
        <v>110</v>
      </c>
      <c r="G694" s="38" t="s">
        <v>590</v>
      </c>
      <c r="H694" s="38">
        <v>68</v>
      </c>
      <c r="I694" s="38">
        <v>732</v>
      </c>
      <c r="J694" s="11">
        <f t="shared" si="189"/>
        <v>1464</v>
      </c>
      <c r="K694" s="5">
        <f t="shared" si="188"/>
        <v>19572.192513368984</v>
      </c>
      <c r="L694" s="39">
        <v>2</v>
      </c>
      <c r="M694" s="37">
        <f t="shared" si="190"/>
        <v>2</v>
      </c>
      <c r="N694" s="38"/>
      <c r="O694" s="46"/>
      <c r="P694" s="42"/>
      <c r="Q694" s="38"/>
      <c r="R694" s="38"/>
      <c r="S694" s="38"/>
      <c r="T694" s="38"/>
      <c r="U694" s="37">
        <f t="shared" si="191"/>
        <v>2</v>
      </c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43"/>
      <c r="AH694" s="44"/>
      <c r="AI694" s="45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8"/>
      <c r="CE694" s="38"/>
      <c r="CF694" s="38"/>
      <c r="CG694" s="38"/>
      <c r="CH694" s="38"/>
    </row>
    <row r="695" spans="1:86">
      <c r="A695" s="33">
        <v>45944</v>
      </c>
      <c r="B695" s="1" t="s">
        <v>825</v>
      </c>
      <c r="C695" s="1" t="s">
        <v>825</v>
      </c>
      <c r="D695" s="1"/>
      <c r="E695" s="38" t="s">
        <v>50</v>
      </c>
      <c r="F695" s="38">
        <v>110</v>
      </c>
      <c r="G695" s="38" t="s">
        <v>590</v>
      </c>
      <c r="H695" s="38">
        <v>68</v>
      </c>
      <c r="I695" s="38">
        <v>730</v>
      </c>
      <c r="J695" s="11">
        <f t="shared" si="189"/>
        <v>730</v>
      </c>
      <c r="K695" s="5">
        <f t="shared" si="188"/>
        <v>9759.3582887700522</v>
      </c>
      <c r="L695" s="39">
        <v>1</v>
      </c>
      <c r="M695" s="37">
        <f t="shared" si="190"/>
        <v>1</v>
      </c>
      <c r="N695" s="38"/>
      <c r="O695" s="46"/>
      <c r="P695" s="42"/>
      <c r="Q695" s="38"/>
      <c r="R695" s="38"/>
      <c r="S695" s="38"/>
      <c r="T695" s="38"/>
      <c r="U695" s="37">
        <f t="shared" si="191"/>
        <v>1</v>
      </c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43"/>
      <c r="AH695" s="44"/>
      <c r="AI695" s="45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8"/>
      <c r="CF695" s="38"/>
      <c r="CG695" s="38"/>
      <c r="CH695" s="38"/>
    </row>
    <row r="696" spans="1:86">
      <c r="A696" s="33">
        <v>45944</v>
      </c>
      <c r="B696" s="1" t="s">
        <v>825</v>
      </c>
      <c r="C696" s="1" t="s">
        <v>825</v>
      </c>
      <c r="D696" s="1"/>
      <c r="E696" s="38" t="s">
        <v>50</v>
      </c>
      <c r="F696" s="38">
        <v>110</v>
      </c>
      <c r="G696" s="38" t="s">
        <v>590</v>
      </c>
      <c r="H696" s="38">
        <v>68</v>
      </c>
      <c r="I696" s="38">
        <v>716</v>
      </c>
      <c r="J696" s="11">
        <f t="shared" si="189"/>
        <v>716</v>
      </c>
      <c r="K696" s="5">
        <f t="shared" si="188"/>
        <v>9572.1925133689838</v>
      </c>
      <c r="L696" s="39">
        <v>1</v>
      </c>
      <c r="M696" s="37">
        <f t="shared" si="190"/>
        <v>1</v>
      </c>
      <c r="N696" s="38"/>
      <c r="O696" s="46"/>
      <c r="P696" s="42"/>
      <c r="Q696" s="38"/>
      <c r="R696" s="38"/>
      <c r="S696" s="38"/>
      <c r="T696" s="38"/>
      <c r="U696" s="37">
        <f t="shared" si="191"/>
        <v>1</v>
      </c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43"/>
      <c r="AH696" s="44"/>
      <c r="AI696" s="45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8"/>
      <c r="CF696" s="38"/>
      <c r="CG696" s="38"/>
      <c r="CH696" s="38"/>
    </row>
    <row r="697" spans="1:86">
      <c r="A697" s="33">
        <v>45944</v>
      </c>
      <c r="B697" s="1" t="s">
        <v>832</v>
      </c>
      <c r="C697" s="1" t="s">
        <v>832</v>
      </c>
      <c r="D697" s="1"/>
      <c r="E697" s="38" t="s">
        <v>50</v>
      </c>
      <c r="F697" s="38">
        <v>110</v>
      </c>
      <c r="G697" s="38" t="s">
        <v>590</v>
      </c>
      <c r="H697" s="38">
        <v>126</v>
      </c>
      <c r="I697" s="38">
        <v>1250</v>
      </c>
      <c r="J697" s="11">
        <f t="shared" si="189"/>
        <v>1250</v>
      </c>
      <c r="K697" s="5">
        <f t="shared" si="188"/>
        <v>9018.7590187590195</v>
      </c>
      <c r="L697" s="39">
        <v>1</v>
      </c>
      <c r="M697" s="37">
        <f t="shared" si="190"/>
        <v>1</v>
      </c>
      <c r="N697" s="38"/>
      <c r="O697" s="46"/>
      <c r="P697" s="42"/>
      <c r="Q697" s="38"/>
      <c r="R697" s="38"/>
      <c r="S697" s="38"/>
      <c r="T697" s="38"/>
      <c r="U697" s="37">
        <f t="shared" si="191"/>
        <v>1</v>
      </c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43"/>
      <c r="AH697" s="44"/>
      <c r="AI697" s="45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8"/>
      <c r="CF697" s="38"/>
      <c r="CG697" s="38"/>
      <c r="CH697" s="38"/>
    </row>
    <row r="698" spans="1:86">
      <c r="A698" s="33">
        <v>45944</v>
      </c>
      <c r="B698" s="1" t="s">
        <v>832</v>
      </c>
      <c r="C698" s="1" t="s">
        <v>832</v>
      </c>
      <c r="D698" s="1"/>
      <c r="E698" s="38" t="s">
        <v>50</v>
      </c>
      <c r="F698" s="38">
        <v>110</v>
      </c>
      <c r="G698" s="38" t="s">
        <v>590</v>
      </c>
      <c r="H698" s="38">
        <v>126</v>
      </c>
      <c r="I698" s="38">
        <v>1254</v>
      </c>
      <c r="J698" s="11">
        <f t="shared" si="189"/>
        <v>1254</v>
      </c>
      <c r="K698" s="5">
        <f t="shared" si="188"/>
        <v>9047.6190476190477</v>
      </c>
      <c r="L698" s="39">
        <v>1</v>
      </c>
      <c r="M698" s="37">
        <f t="shared" si="190"/>
        <v>1</v>
      </c>
      <c r="N698" s="38"/>
      <c r="O698" s="46"/>
      <c r="P698" s="42"/>
      <c r="Q698" s="38"/>
      <c r="R698" s="38"/>
      <c r="S698" s="38"/>
      <c r="T698" s="38"/>
      <c r="U698" s="37">
        <f t="shared" si="191"/>
        <v>1</v>
      </c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43"/>
      <c r="AH698" s="44"/>
      <c r="AI698" s="45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8"/>
      <c r="CF698" s="38"/>
      <c r="CG698" s="38"/>
      <c r="CH698" s="38"/>
    </row>
    <row r="699" spans="1:86">
      <c r="A699" s="33">
        <v>45944</v>
      </c>
      <c r="B699" s="1" t="s">
        <v>832</v>
      </c>
      <c r="C699" s="1" t="s">
        <v>832</v>
      </c>
      <c r="D699" s="1"/>
      <c r="E699" s="38" t="s">
        <v>50</v>
      </c>
      <c r="F699" s="38">
        <v>110</v>
      </c>
      <c r="G699" s="38" t="s">
        <v>590</v>
      </c>
      <c r="H699" s="38">
        <v>126</v>
      </c>
      <c r="I699" s="38">
        <v>1249</v>
      </c>
      <c r="J699" s="11">
        <f t="shared" si="189"/>
        <v>1249</v>
      </c>
      <c r="K699" s="5">
        <f t="shared" si="188"/>
        <v>9011.5440115440106</v>
      </c>
      <c r="L699" s="39">
        <v>1</v>
      </c>
      <c r="M699" s="37">
        <f t="shared" si="190"/>
        <v>1</v>
      </c>
      <c r="N699" s="38"/>
      <c r="O699" s="46"/>
      <c r="P699" s="42"/>
      <c r="Q699" s="38"/>
      <c r="R699" s="38"/>
      <c r="S699" s="38"/>
      <c r="T699" s="38"/>
      <c r="U699" s="37">
        <f t="shared" si="191"/>
        <v>1</v>
      </c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43"/>
      <c r="AH699" s="44"/>
      <c r="AI699" s="45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8"/>
      <c r="CF699" s="38"/>
      <c r="CG699" s="38"/>
      <c r="CH699" s="38"/>
    </row>
    <row r="700" spans="1:86">
      <c r="A700" s="33">
        <v>45944</v>
      </c>
      <c r="B700" s="1" t="s">
        <v>832</v>
      </c>
      <c r="C700" s="1" t="s">
        <v>832</v>
      </c>
      <c r="D700" s="1"/>
      <c r="E700" s="38" t="s">
        <v>50</v>
      </c>
      <c r="F700" s="38">
        <v>110</v>
      </c>
      <c r="G700" s="38" t="s">
        <v>590</v>
      </c>
      <c r="H700" s="38">
        <v>126</v>
      </c>
      <c r="I700" s="38">
        <v>1304</v>
      </c>
      <c r="J700" s="11">
        <f t="shared" si="189"/>
        <v>1304</v>
      </c>
      <c r="K700" s="5">
        <f t="shared" si="188"/>
        <v>9408.3694083694081</v>
      </c>
      <c r="L700" s="39">
        <v>1</v>
      </c>
      <c r="M700" s="37">
        <f t="shared" si="190"/>
        <v>1</v>
      </c>
      <c r="N700" s="38"/>
      <c r="O700" s="46"/>
      <c r="P700" s="42"/>
      <c r="Q700" s="38"/>
      <c r="R700" s="38"/>
      <c r="S700" s="38"/>
      <c r="T700" s="38"/>
      <c r="U700" s="37">
        <f t="shared" si="191"/>
        <v>1</v>
      </c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43"/>
      <c r="AH700" s="44"/>
      <c r="AI700" s="45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8"/>
      <c r="CF700" s="38"/>
      <c r="CG700" s="38"/>
      <c r="CH700" s="38"/>
    </row>
    <row r="701" spans="1:86">
      <c r="A701" s="33">
        <v>45944</v>
      </c>
      <c r="B701" s="1" t="s">
        <v>832</v>
      </c>
      <c r="C701" s="1" t="s">
        <v>832</v>
      </c>
      <c r="D701" s="1"/>
      <c r="E701" s="38" t="s">
        <v>50</v>
      </c>
      <c r="F701" s="38">
        <v>110</v>
      </c>
      <c r="G701" s="38" t="s">
        <v>590</v>
      </c>
      <c r="H701" s="38">
        <v>126</v>
      </c>
      <c r="I701" s="38">
        <v>1300</v>
      </c>
      <c r="J701" s="11">
        <f t="shared" si="189"/>
        <v>1300</v>
      </c>
      <c r="K701" s="5">
        <f t="shared" si="188"/>
        <v>9379.5093795093799</v>
      </c>
      <c r="L701" s="39">
        <v>1</v>
      </c>
      <c r="M701" s="37">
        <f t="shared" si="190"/>
        <v>1</v>
      </c>
      <c r="N701" s="38"/>
      <c r="O701" s="46"/>
      <c r="P701" s="42"/>
      <c r="Q701" s="38"/>
      <c r="R701" s="38"/>
      <c r="S701" s="38"/>
      <c r="T701" s="38"/>
      <c r="U701" s="37">
        <f t="shared" si="191"/>
        <v>1</v>
      </c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43"/>
      <c r="AH701" s="44"/>
      <c r="AI701" s="45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8"/>
      <c r="CF701" s="38"/>
      <c r="CG701" s="38"/>
      <c r="CH701" s="38"/>
    </row>
    <row r="702" spans="1:86">
      <c r="A702" s="33">
        <v>45944</v>
      </c>
      <c r="B702" s="1" t="s">
        <v>832</v>
      </c>
      <c r="C702" s="1" t="s">
        <v>832</v>
      </c>
      <c r="D702" s="1"/>
      <c r="E702" s="38" t="s">
        <v>50</v>
      </c>
      <c r="F702" s="38">
        <v>110</v>
      </c>
      <c r="G702" s="38" t="s">
        <v>590</v>
      </c>
      <c r="H702" s="38">
        <v>126</v>
      </c>
      <c r="I702" s="38">
        <v>1303</v>
      </c>
      <c r="J702" s="11">
        <f t="shared" si="189"/>
        <v>1303</v>
      </c>
      <c r="K702" s="5">
        <f t="shared" si="188"/>
        <v>9401.1544011544011</v>
      </c>
      <c r="L702" s="39">
        <v>1</v>
      </c>
      <c r="M702" s="37">
        <f t="shared" si="190"/>
        <v>1</v>
      </c>
      <c r="N702" s="38"/>
      <c r="O702" s="46"/>
      <c r="P702" s="42"/>
      <c r="Q702" s="38"/>
      <c r="R702" s="38"/>
      <c r="S702" s="38"/>
      <c r="T702" s="38"/>
      <c r="U702" s="37">
        <f t="shared" si="191"/>
        <v>1</v>
      </c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43"/>
      <c r="AH702" s="44"/>
      <c r="AI702" s="45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8"/>
      <c r="CF702" s="38"/>
      <c r="CG702" s="38"/>
      <c r="CH702" s="38"/>
    </row>
    <row r="703" spans="1:86">
      <c r="A703" s="33">
        <v>45944</v>
      </c>
      <c r="B703" s="1" t="s">
        <v>832</v>
      </c>
      <c r="C703" s="1" t="s">
        <v>832</v>
      </c>
      <c r="D703" s="1"/>
      <c r="E703" s="38" t="s">
        <v>50</v>
      </c>
      <c r="F703" s="38">
        <v>110</v>
      </c>
      <c r="G703" s="38" t="s">
        <v>590</v>
      </c>
      <c r="H703" s="38">
        <v>126</v>
      </c>
      <c r="I703" s="38">
        <v>1280</v>
      </c>
      <c r="J703" s="11">
        <f t="shared" si="189"/>
        <v>1280</v>
      </c>
      <c r="K703" s="5">
        <f t="shared" si="188"/>
        <v>9235.209235209235</v>
      </c>
      <c r="L703" s="39">
        <v>1</v>
      </c>
      <c r="M703" s="37">
        <f t="shared" si="190"/>
        <v>1</v>
      </c>
      <c r="N703" s="38"/>
      <c r="O703" s="46"/>
      <c r="P703" s="42"/>
      <c r="Q703" s="38"/>
      <c r="R703" s="38"/>
      <c r="S703" s="38"/>
      <c r="T703" s="38"/>
      <c r="U703" s="37">
        <f t="shared" si="191"/>
        <v>1</v>
      </c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43"/>
      <c r="AH703" s="44"/>
      <c r="AI703" s="45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8"/>
      <c r="CF703" s="38"/>
      <c r="CG703" s="38"/>
      <c r="CH703" s="38"/>
    </row>
    <row r="704" spans="1:86">
      <c r="A704" s="33">
        <v>45944</v>
      </c>
      <c r="B704" s="1" t="s">
        <v>832</v>
      </c>
      <c r="C704" s="1" t="s">
        <v>832</v>
      </c>
      <c r="D704" s="1"/>
      <c r="E704" s="38" t="s">
        <v>50</v>
      </c>
      <c r="F704" s="38">
        <v>110</v>
      </c>
      <c r="G704" s="38" t="s">
        <v>590</v>
      </c>
      <c r="H704" s="38">
        <v>126</v>
      </c>
      <c r="I704" s="38">
        <v>1284</v>
      </c>
      <c r="J704" s="11">
        <f t="shared" si="189"/>
        <v>1284</v>
      </c>
      <c r="K704" s="5">
        <f t="shared" si="188"/>
        <v>9264.0692640692632</v>
      </c>
      <c r="L704" s="39">
        <v>1</v>
      </c>
      <c r="M704" s="37">
        <f t="shared" si="190"/>
        <v>1</v>
      </c>
      <c r="N704" s="38"/>
      <c r="O704" s="46"/>
      <c r="P704" s="42"/>
      <c r="Q704" s="38"/>
      <c r="R704" s="38"/>
      <c r="S704" s="38"/>
      <c r="T704" s="38"/>
      <c r="U704" s="37">
        <f t="shared" si="191"/>
        <v>1</v>
      </c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43"/>
      <c r="AH704" s="44"/>
      <c r="AI704" s="45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  <c r="BS704" s="38"/>
      <c r="BT704" s="38"/>
      <c r="BU704" s="38"/>
      <c r="BV704" s="38"/>
      <c r="BW704" s="38"/>
      <c r="BX704" s="38"/>
      <c r="BY704" s="38"/>
      <c r="BZ704" s="38"/>
      <c r="CA704" s="38"/>
      <c r="CB704" s="38"/>
      <c r="CC704" s="38"/>
      <c r="CD704" s="38"/>
      <c r="CE704" s="38"/>
      <c r="CF704" s="38"/>
      <c r="CG704" s="38"/>
      <c r="CH704" s="38"/>
    </row>
    <row r="705" spans="1:86">
      <c r="A705" s="33">
        <v>45944</v>
      </c>
      <c r="B705" s="1" t="s">
        <v>817</v>
      </c>
      <c r="C705" s="1" t="s">
        <v>817</v>
      </c>
      <c r="D705" s="1"/>
      <c r="E705" s="38" t="s">
        <v>50</v>
      </c>
      <c r="F705" s="38">
        <v>110</v>
      </c>
      <c r="G705" s="38" t="s">
        <v>590</v>
      </c>
      <c r="H705" s="38">
        <v>155</v>
      </c>
      <c r="I705" s="38">
        <v>1587</v>
      </c>
      <c r="J705" s="11">
        <f t="shared" ref="J705:J714" si="192">IFERROR(IF(AND(V705=3,U705&gt;0),I705,I705*U705),"Verify")</f>
        <v>1587</v>
      </c>
      <c r="K705" s="5">
        <f t="shared" ref="K705:K714" si="193">+J705/(F705*H705*10^-5)</f>
        <v>9307.9178885630499</v>
      </c>
      <c r="L705" s="39">
        <v>1</v>
      </c>
      <c r="M705" s="37">
        <f t="shared" si="190"/>
        <v>1</v>
      </c>
      <c r="N705" s="38"/>
      <c r="O705" s="46"/>
      <c r="P705" s="42"/>
      <c r="Q705" s="38"/>
      <c r="R705" s="38"/>
      <c r="S705" s="38"/>
      <c r="T705" s="38"/>
      <c r="U705" s="37">
        <f t="shared" si="191"/>
        <v>1</v>
      </c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43"/>
      <c r="AH705" s="44"/>
      <c r="AI705" s="45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  <c r="BS705" s="38"/>
      <c r="BT705" s="38"/>
      <c r="BU705" s="38"/>
      <c r="BV705" s="38"/>
      <c r="BW705" s="38"/>
      <c r="BX705" s="38"/>
      <c r="BY705" s="38"/>
      <c r="BZ705" s="38"/>
      <c r="CA705" s="38"/>
      <c r="CB705" s="38"/>
      <c r="CC705" s="38"/>
      <c r="CD705" s="38"/>
      <c r="CE705" s="38"/>
      <c r="CF705" s="38"/>
      <c r="CG705" s="38"/>
      <c r="CH705" s="38"/>
    </row>
    <row r="706" spans="1:86">
      <c r="A706" s="33">
        <v>45944</v>
      </c>
      <c r="B706" s="1" t="s">
        <v>821</v>
      </c>
      <c r="C706" s="1" t="s">
        <v>821</v>
      </c>
      <c r="D706" s="1"/>
      <c r="E706" s="38" t="s">
        <v>41</v>
      </c>
      <c r="F706" s="38">
        <v>100</v>
      </c>
      <c r="G706" s="38" t="s">
        <v>590</v>
      </c>
      <c r="H706" s="38">
        <v>97</v>
      </c>
      <c r="I706" s="38">
        <v>896</v>
      </c>
      <c r="J706" s="11">
        <f t="shared" si="192"/>
        <v>896</v>
      </c>
      <c r="K706" s="5">
        <f t="shared" si="193"/>
        <v>9237.1134020618556</v>
      </c>
      <c r="L706" s="39">
        <v>1</v>
      </c>
      <c r="M706" s="37">
        <f t="shared" si="190"/>
        <v>1</v>
      </c>
      <c r="N706" s="38"/>
      <c r="O706" s="46"/>
      <c r="P706" s="42"/>
      <c r="Q706" s="38"/>
      <c r="R706" s="38"/>
      <c r="S706" s="38"/>
      <c r="T706" s="38"/>
      <c r="U706" s="37">
        <f t="shared" si="191"/>
        <v>1</v>
      </c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43"/>
      <c r="AH706" s="44"/>
      <c r="AI706" s="45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8"/>
      <c r="CF706" s="38"/>
      <c r="CG706" s="38"/>
      <c r="CH706" s="38"/>
    </row>
    <row r="707" spans="1:86">
      <c r="A707" s="33">
        <v>45944</v>
      </c>
      <c r="B707" s="1" t="s">
        <v>821</v>
      </c>
      <c r="C707" s="1" t="s">
        <v>821</v>
      </c>
      <c r="D707" s="1"/>
      <c r="E707" s="38" t="s">
        <v>41</v>
      </c>
      <c r="F707" s="38">
        <v>100</v>
      </c>
      <c r="G707" s="38" t="s">
        <v>590</v>
      </c>
      <c r="H707" s="38">
        <v>97</v>
      </c>
      <c r="I707" s="38">
        <v>890</v>
      </c>
      <c r="J707" s="11">
        <f t="shared" si="192"/>
        <v>1780</v>
      </c>
      <c r="K707" s="5">
        <f t="shared" si="193"/>
        <v>18350.515463917523</v>
      </c>
      <c r="L707" s="39">
        <v>2</v>
      </c>
      <c r="M707" s="37">
        <f t="shared" si="190"/>
        <v>2</v>
      </c>
      <c r="N707" s="38"/>
      <c r="O707" s="46"/>
      <c r="P707" s="42"/>
      <c r="Q707" s="38"/>
      <c r="R707" s="38"/>
      <c r="S707" s="38"/>
      <c r="T707" s="38"/>
      <c r="U707" s="37">
        <f t="shared" si="191"/>
        <v>2</v>
      </c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43"/>
      <c r="AH707" s="44"/>
      <c r="AI707" s="45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8"/>
      <c r="CF707" s="38"/>
      <c r="CG707" s="38"/>
      <c r="CH707" s="38"/>
    </row>
    <row r="708" spans="1:86">
      <c r="A708" s="33">
        <v>45944</v>
      </c>
      <c r="B708" s="1" t="s">
        <v>821</v>
      </c>
      <c r="C708" s="1" t="s">
        <v>821</v>
      </c>
      <c r="D708" s="1"/>
      <c r="E708" s="38" t="s">
        <v>41</v>
      </c>
      <c r="F708" s="38">
        <v>100</v>
      </c>
      <c r="G708" s="38" t="s">
        <v>590</v>
      </c>
      <c r="H708" s="38">
        <v>97</v>
      </c>
      <c r="I708" s="38">
        <v>893</v>
      </c>
      <c r="J708" s="11">
        <f t="shared" si="192"/>
        <v>893</v>
      </c>
      <c r="K708" s="5">
        <f t="shared" si="193"/>
        <v>9206.1855670103087</v>
      </c>
      <c r="L708" s="39">
        <v>1</v>
      </c>
      <c r="M708" s="37">
        <f t="shared" si="190"/>
        <v>1</v>
      </c>
      <c r="N708" s="38"/>
      <c r="O708" s="46"/>
      <c r="P708" s="42"/>
      <c r="Q708" s="38"/>
      <c r="R708" s="38"/>
      <c r="S708" s="38"/>
      <c r="T708" s="38"/>
      <c r="U708" s="37">
        <f t="shared" si="191"/>
        <v>1</v>
      </c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43"/>
      <c r="AH708" s="44"/>
      <c r="AI708" s="45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  <c r="BW708" s="38"/>
      <c r="BX708" s="38"/>
      <c r="BY708" s="38"/>
      <c r="BZ708" s="38"/>
      <c r="CA708" s="38"/>
      <c r="CB708" s="38"/>
      <c r="CC708" s="38"/>
      <c r="CD708" s="38"/>
      <c r="CE708" s="38"/>
      <c r="CF708" s="38"/>
      <c r="CG708" s="38"/>
      <c r="CH708" s="38"/>
    </row>
    <row r="709" spans="1:86">
      <c r="A709" s="33">
        <v>45944</v>
      </c>
      <c r="B709" s="1" t="s">
        <v>821</v>
      </c>
      <c r="C709" s="1" t="s">
        <v>821</v>
      </c>
      <c r="D709" s="1"/>
      <c r="E709" s="38" t="s">
        <v>41</v>
      </c>
      <c r="F709" s="38">
        <v>100</v>
      </c>
      <c r="G709" s="38" t="s">
        <v>590</v>
      </c>
      <c r="H709" s="38">
        <v>97</v>
      </c>
      <c r="I709" s="38">
        <v>941</v>
      </c>
      <c r="J709" s="11">
        <f t="shared" si="192"/>
        <v>941</v>
      </c>
      <c r="K709" s="5">
        <f t="shared" si="193"/>
        <v>9701.0309278350505</v>
      </c>
      <c r="L709" s="39">
        <v>1</v>
      </c>
      <c r="M709" s="37">
        <f t="shared" si="190"/>
        <v>1</v>
      </c>
      <c r="N709" s="38"/>
      <c r="O709" s="46"/>
      <c r="P709" s="42"/>
      <c r="Q709" s="38"/>
      <c r="R709" s="38"/>
      <c r="S709" s="38"/>
      <c r="T709" s="38"/>
      <c r="U709" s="37">
        <f t="shared" si="191"/>
        <v>1</v>
      </c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43"/>
      <c r="AH709" s="44"/>
      <c r="AI709" s="45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  <c r="BW709" s="38"/>
      <c r="BX709" s="38"/>
      <c r="BY709" s="38"/>
      <c r="BZ709" s="38"/>
      <c r="CA709" s="38"/>
      <c r="CB709" s="38"/>
      <c r="CC709" s="38"/>
      <c r="CD709" s="38"/>
      <c r="CE709" s="38"/>
      <c r="CF709" s="38"/>
      <c r="CG709" s="38"/>
      <c r="CH709" s="38"/>
    </row>
    <row r="710" spans="1:86">
      <c r="A710" s="33">
        <v>45944</v>
      </c>
      <c r="B710" s="1" t="s">
        <v>821</v>
      </c>
      <c r="C710" s="1" t="s">
        <v>821</v>
      </c>
      <c r="D710" s="1"/>
      <c r="E710" s="38" t="s">
        <v>41</v>
      </c>
      <c r="F710" s="38">
        <v>100</v>
      </c>
      <c r="G710" s="38" t="s">
        <v>590</v>
      </c>
      <c r="H710" s="38">
        <v>97</v>
      </c>
      <c r="I710" s="38">
        <v>940</v>
      </c>
      <c r="J710" s="11">
        <f t="shared" si="192"/>
        <v>940</v>
      </c>
      <c r="K710" s="5">
        <f t="shared" si="193"/>
        <v>9690.7216494845361</v>
      </c>
      <c r="L710" s="39">
        <v>1</v>
      </c>
      <c r="M710" s="37">
        <f t="shared" si="190"/>
        <v>1</v>
      </c>
      <c r="N710" s="38"/>
      <c r="O710" s="46"/>
      <c r="P710" s="42"/>
      <c r="Q710" s="38"/>
      <c r="R710" s="38"/>
      <c r="S710" s="38"/>
      <c r="T710" s="38"/>
      <c r="U710" s="37">
        <f t="shared" si="191"/>
        <v>1</v>
      </c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43"/>
      <c r="AH710" s="44"/>
      <c r="AI710" s="45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  <c r="BW710" s="38"/>
      <c r="BX710" s="38"/>
      <c r="BY710" s="38"/>
      <c r="BZ710" s="38"/>
      <c r="CA710" s="38"/>
      <c r="CB710" s="38"/>
      <c r="CC710" s="38"/>
      <c r="CD710" s="38"/>
      <c r="CE710" s="38"/>
      <c r="CF710" s="38"/>
      <c r="CG710" s="38"/>
      <c r="CH710" s="38"/>
    </row>
    <row r="711" spans="1:86">
      <c r="A711" s="33">
        <v>45944</v>
      </c>
      <c r="B711" s="1" t="s">
        <v>821</v>
      </c>
      <c r="C711" s="1" t="s">
        <v>821</v>
      </c>
      <c r="D711" s="1"/>
      <c r="E711" s="38" t="s">
        <v>41</v>
      </c>
      <c r="F711" s="38">
        <v>100</v>
      </c>
      <c r="G711" s="38" t="s">
        <v>590</v>
      </c>
      <c r="H711" s="38">
        <v>97</v>
      </c>
      <c r="I711" s="38">
        <v>930</v>
      </c>
      <c r="J711" s="11">
        <f t="shared" si="192"/>
        <v>930</v>
      </c>
      <c r="K711" s="5">
        <f t="shared" si="193"/>
        <v>9587.6288659793809</v>
      </c>
      <c r="L711" s="39">
        <v>1</v>
      </c>
      <c r="M711" s="37">
        <f t="shared" si="190"/>
        <v>1</v>
      </c>
      <c r="N711" s="38"/>
      <c r="O711" s="46"/>
      <c r="P711" s="42"/>
      <c r="Q711" s="38"/>
      <c r="R711" s="38"/>
      <c r="S711" s="38"/>
      <c r="T711" s="38"/>
      <c r="U711" s="37">
        <f t="shared" si="191"/>
        <v>1</v>
      </c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43"/>
      <c r="AH711" s="44"/>
      <c r="AI711" s="45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  <c r="BS711" s="38"/>
      <c r="BT711" s="38"/>
      <c r="BU711" s="38"/>
      <c r="BV711" s="38"/>
      <c r="BW711" s="38"/>
      <c r="BX711" s="38"/>
      <c r="BY711" s="38"/>
      <c r="BZ711" s="38"/>
      <c r="CA711" s="38"/>
      <c r="CB711" s="38"/>
      <c r="CC711" s="38"/>
      <c r="CD711" s="38"/>
      <c r="CE711" s="38"/>
      <c r="CF711" s="38"/>
      <c r="CG711" s="38"/>
      <c r="CH711" s="38"/>
    </row>
    <row r="712" spans="1:86">
      <c r="A712" s="33">
        <v>45944</v>
      </c>
      <c r="B712" s="1" t="s">
        <v>821</v>
      </c>
      <c r="C712" s="1" t="s">
        <v>821</v>
      </c>
      <c r="D712" s="1"/>
      <c r="E712" s="38" t="s">
        <v>41</v>
      </c>
      <c r="F712" s="38">
        <v>100</v>
      </c>
      <c r="G712" s="38" t="s">
        <v>590</v>
      </c>
      <c r="H712" s="38">
        <v>97</v>
      </c>
      <c r="I712" s="38">
        <v>934</v>
      </c>
      <c r="J712" s="11">
        <f t="shared" si="192"/>
        <v>934</v>
      </c>
      <c r="K712" s="5">
        <f t="shared" si="193"/>
        <v>9628.8659793814422</v>
      </c>
      <c r="L712" s="39">
        <v>1</v>
      </c>
      <c r="M712" s="37">
        <f t="shared" si="190"/>
        <v>1</v>
      </c>
      <c r="N712" s="38"/>
      <c r="O712" s="46"/>
      <c r="P712" s="42"/>
      <c r="Q712" s="38"/>
      <c r="R712" s="38"/>
      <c r="S712" s="38"/>
      <c r="T712" s="38"/>
      <c r="U712" s="37">
        <f t="shared" si="191"/>
        <v>1</v>
      </c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43"/>
      <c r="AH712" s="44"/>
      <c r="AI712" s="45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  <c r="BS712" s="38"/>
      <c r="BT712" s="38"/>
      <c r="BU712" s="38"/>
      <c r="BV712" s="38"/>
      <c r="BW712" s="38"/>
      <c r="BX712" s="38"/>
      <c r="BY712" s="38"/>
      <c r="BZ712" s="38"/>
      <c r="CA712" s="38"/>
      <c r="CB712" s="38"/>
      <c r="CC712" s="38"/>
      <c r="CD712" s="38"/>
      <c r="CE712" s="38"/>
      <c r="CF712" s="38"/>
      <c r="CG712" s="38"/>
      <c r="CH712" s="38"/>
    </row>
    <row r="713" spans="1:86">
      <c r="A713" s="33">
        <v>45944</v>
      </c>
      <c r="B713" s="1" t="s">
        <v>821</v>
      </c>
      <c r="C713" s="1" t="s">
        <v>821</v>
      </c>
      <c r="D713" s="1"/>
      <c r="E713" s="38" t="s">
        <v>41</v>
      </c>
      <c r="F713" s="38">
        <v>100</v>
      </c>
      <c r="G713" s="38" t="s">
        <v>590</v>
      </c>
      <c r="H713" s="38">
        <v>97</v>
      </c>
      <c r="I713" s="38">
        <v>931</v>
      </c>
      <c r="J713" s="11">
        <f t="shared" si="192"/>
        <v>931</v>
      </c>
      <c r="K713" s="5">
        <f t="shared" si="193"/>
        <v>9597.9381443298971</v>
      </c>
      <c r="L713" s="39">
        <v>1</v>
      </c>
      <c r="M713" s="37">
        <f t="shared" si="190"/>
        <v>1</v>
      </c>
      <c r="N713" s="38"/>
      <c r="O713" s="46"/>
      <c r="P713" s="42"/>
      <c r="Q713" s="38"/>
      <c r="R713" s="38"/>
      <c r="S713" s="38"/>
      <c r="T713" s="38"/>
      <c r="U713" s="37">
        <f t="shared" si="191"/>
        <v>1</v>
      </c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43"/>
      <c r="AH713" s="44"/>
      <c r="AI713" s="45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  <c r="BW713" s="38"/>
      <c r="BX713" s="38"/>
      <c r="BY713" s="38"/>
      <c r="BZ713" s="38"/>
      <c r="CA713" s="38"/>
      <c r="CB713" s="38"/>
      <c r="CC713" s="38"/>
      <c r="CD713" s="38"/>
      <c r="CE713" s="38"/>
      <c r="CF713" s="38"/>
      <c r="CG713" s="38"/>
      <c r="CH713" s="38"/>
    </row>
    <row r="714" spans="1:86">
      <c r="A714" s="33">
        <v>45944</v>
      </c>
      <c r="B714" s="1" t="s">
        <v>821</v>
      </c>
      <c r="C714" s="1" t="s">
        <v>821</v>
      </c>
      <c r="D714" s="1"/>
      <c r="E714" s="38" t="s">
        <v>41</v>
      </c>
      <c r="F714" s="38">
        <v>100</v>
      </c>
      <c r="G714" s="38" t="s">
        <v>590</v>
      </c>
      <c r="H714" s="38">
        <v>97</v>
      </c>
      <c r="I714" s="38">
        <v>928</v>
      </c>
      <c r="J714" s="11">
        <f t="shared" si="192"/>
        <v>928</v>
      </c>
      <c r="K714" s="5">
        <f t="shared" si="193"/>
        <v>9567.0103092783502</v>
      </c>
      <c r="L714" s="39">
        <v>1</v>
      </c>
      <c r="M714" s="37">
        <f t="shared" si="190"/>
        <v>1</v>
      </c>
      <c r="N714" s="38"/>
      <c r="O714" s="46"/>
      <c r="P714" s="42"/>
      <c r="Q714" s="38"/>
      <c r="R714" s="38"/>
      <c r="S714" s="38"/>
      <c r="T714" s="38"/>
      <c r="U714" s="37">
        <f t="shared" si="191"/>
        <v>1</v>
      </c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43"/>
      <c r="AH714" s="44"/>
      <c r="AI714" s="45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  <c r="BS714" s="38"/>
      <c r="BT714" s="38"/>
      <c r="BU714" s="38"/>
      <c r="BV714" s="38"/>
      <c r="BW714" s="38"/>
      <c r="BX714" s="38"/>
      <c r="BY714" s="38"/>
      <c r="BZ714" s="38"/>
      <c r="CA714" s="38"/>
      <c r="CB714" s="38"/>
      <c r="CC714" s="38"/>
      <c r="CD714" s="38"/>
      <c r="CE714" s="38"/>
      <c r="CF714" s="38"/>
      <c r="CG714" s="38"/>
      <c r="CH714" s="38"/>
    </row>
    <row r="715" spans="1:86">
      <c r="A715" s="33">
        <v>45945</v>
      </c>
      <c r="B715" s="1"/>
      <c r="C715" s="1"/>
      <c r="D715" s="1"/>
      <c r="E715" s="38" t="s">
        <v>50</v>
      </c>
      <c r="F715" s="38">
        <v>110</v>
      </c>
      <c r="G715" s="38" t="s">
        <v>590</v>
      </c>
      <c r="H715" s="38">
        <v>155</v>
      </c>
      <c r="I715" s="38">
        <v>1628</v>
      </c>
      <c r="J715" s="11">
        <f t="shared" ref="J715:J720" si="194">IFERROR(IF(AND(V715=3,U715&gt;0),I715,I715*U715),"Verify")</f>
        <v>1628</v>
      </c>
      <c r="K715" s="5">
        <f t="shared" ref="K715:K720" si="195">+J715/(F715*H715*10^-5)</f>
        <v>9548.3870967741932</v>
      </c>
      <c r="L715" s="39">
        <v>1</v>
      </c>
      <c r="M715" s="37">
        <f t="shared" si="190"/>
        <v>1</v>
      </c>
      <c r="N715" s="38"/>
      <c r="O715" s="46"/>
      <c r="P715" s="42"/>
      <c r="Q715" s="38"/>
      <c r="R715" s="38"/>
      <c r="S715" s="38"/>
      <c r="T715" s="38"/>
      <c r="U715" s="37">
        <f t="shared" si="191"/>
        <v>1</v>
      </c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43"/>
      <c r="AH715" s="44"/>
      <c r="AI715" s="45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  <c r="BS715" s="38"/>
      <c r="BT715" s="38"/>
      <c r="BU715" s="38"/>
      <c r="BV715" s="38"/>
      <c r="BW715" s="38"/>
      <c r="BX715" s="38"/>
      <c r="BY715" s="38"/>
      <c r="BZ715" s="38"/>
      <c r="CA715" s="38"/>
      <c r="CB715" s="38"/>
      <c r="CC715" s="38"/>
      <c r="CD715" s="38"/>
      <c r="CE715" s="38"/>
      <c r="CF715" s="38"/>
      <c r="CG715" s="38"/>
      <c r="CH715" s="38"/>
    </row>
    <row r="716" spans="1:86">
      <c r="A716" s="33">
        <v>45945</v>
      </c>
      <c r="B716" s="1"/>
      <c r="C716" s="1"/>
      <c r="D716" s="1"/>
      <c r="E716" s="38" t="s">
        <v>50</v>
      </c>
      <c r="F716" s="38">
        <v>110</v>
      </c>
      <c r="G716" s="38" t="s">
        <v>590</v>
      </c>
      <c r="H716" s="38">
        <v>155</v>
      </c>
      <c r="I716" s="38">
        <v>1638</v>
      </c>
      <c r="J716" s="11">
        <f t="shared" si="194"/>
        <v>1638</v>
      </c>
      <c r="K716" s="5">
        <f t="shared" si="195"/>
        <v>9607.0381231671545</v>
      </c>
      <c r="L716" s="39">
        <v>1</v>
      </c>
      <c r="M716" s="37">
        <f t="shared" si="190"/>
        <v>1</v>
      </c>
      <c r="N716" s="38"/>
      <c r="O716" s="46"/>
      <c r="P716" s="42"/>
      <c r="Q716" s="38"/>
      <c r="R716" s="38"/>
      <c r="S716" s="38"/>
      <c r="T716" s="38"/>
      <c r="U716" s="37">
        <f t="shared" si="191"/>
        <v>1</v>
      </c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43"/>
      <c r="AH716" s="44"/>
      <c r="AI716" s="45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  <c r="BS716" s="38"/>
      <c r="BT716" s="38"/>
      <c r="BU716" s="38"/>
      <c r="BV716" s="38"/>
      <c r="BW716" s="38"/>
      <c r="BX716" s="38"/>
      <c r="BY716" s="38"/>
      <c r="BZ716" s="38"/>
      <c r="CA716" s="38"/>
      <c r="CB716" s="38"/>
      <c r="CC716" s="38"/>
      <c r="CD716" s="38"/>
      <c r="CE716" s="38"/>
      <c r="CF716" s="38"/>
      <c r="CG716" s="38"/>
      <c r="CH716" s="38"/>
    </row>
    <row r="717" spans="1:86">
      <c r="A717" s="33">
        <v>45945</v>
      </c>
      <c r="B717" s="1"/>
      <c r="C717" s="1"/>
      <c r="D717" s="1"/>
      <c r="E717" s="38" t="s">
        <v>50</v>
      </c>
      <c r="F717" s="38">
        <v>110</v>
      </c>
      <c r="G717" s="38" t="s">
        <v>590</v>
      </c>
      <c r="H717" s="38">
        <v>155</v>
      </c>
      <c r="I717" s="38">
        <v>1632</v>
      </c>
      <c r="J717" s="11">
        <f t="shared" si="194"/>
        <v>1632</v>
      </c>
      <c r="K717" s="5">
        <f t="shared" si="195"/>
        <v>9571.8475073313784</v>
      </c>
      <c r="L717" s="39">
        <v>1</v>
      </c>
      <c r="M717" s="37">
        <f t="shared" si="190"/>
        <v>1</v>
      </c>
      <c r="N717" s="38"/>
      <c r="O717" s="46"/>
      <c r="P717" s="42"/>
      <c r="Q717" s="38"/>
      <c r="R717" s="38"/>
      <c r="S717" s="38"/>
      <c r="T717" s="38"/>
      <c r="U717" s="37">
        <f t="shared" si="191"/>
        <v>1</v>
      </c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43"/>
      <c r="AH717" s="44"/>
      <c r="AI717" s="45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  <c r="BS717" s="38"/>
      <c r="BT717" s="38"/>
      <c r="BU717" s="38"/>
      <c r="BV717" s="38"/>
      <c r="BW717" s="38"/>
      <c r="BX717" s="38"/>
      <c r="BY717" s="38"/>
      <c r="BZ717" s="38"/>
      <c r="CA717" s="38"/>
      <c r="CB717" s="38"/>
      <c r="CC717" s="38"/>
      <c r="CD717" s="38"/>
      <c r="CE717" s="38"/>
      <c r="CF717" s="38"/>
      <c r="CG717" s="38"/>
      <c r="CH717" s="38"/>
    </row>
    <row r="718" spans="1:86">
      <c r="A718" s="33">
        <v>45945</v>
      </c>
      <c r="B718" s="1"/>
      <c r="C718" s="1"/>
      <c r="D718" s="1"/>
      <c r="E718" s="38" t="s">
        <v>50</v>
      </c>
      <c r="F718" s="38">
        <v>110</v>
      </c>
      <c r="G718" s="38" t="s">
        <v>590</v>
      </c>
      <c r="H718" s="38">
        <v>165</v>
      </c>
      <c r="I718" s="38">
        <v>1691</v>
      </c>
      <c r="J718" s="11">
        <f t="shared" si="194"/>
        <v>1691</v>
      </c>
      <c r="K718" s="5">
        <f t="shared" si="195"/>
        <v>9316.8044077134982</v>
      </c>
      <c r="L718" s="39">
        <v>1</v>
      </c>
      <c r="M718" s="37">
        <f t="shared" si="190"/>
        <v>1</v>
      </c>
      <c r="N718" s="38"/>
      <c r="O718" s="46"/>
      <c r="P718" s="42"/>
      <c r="Q718" s="38"/>
      <c r="R718" s="38"/>
      <c r="S718" s="38"/>
      <c r="T718" s="38"/>
      <c r="U718" s="37">
        <f t="shared" si="191"/>
        <v>1</v>
      </c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43"/>
      <c r="AH718" s="44"/>
      <c r="AI718" s="45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  <c r="BW718" s="38"/>
      <c r="BX718" s="38"/>
      <c r="BY718" s="38"/>
      <c r="BZ718" s="38"/>
      <c r="CA718" s="38"/>
      <c r="CB718" s="38"/>
      <c r="CC718" s="38"/>
      <c r="CD718" s="38"/>
      <c r="CE718" s="38"/>
      <c r="CF718" s="38"/>
      <c r="CG718" s="38"/>
      <c r="CH718" s="38"/>
    </row>
    <row r="719" spans="1:86">
      <c r="A719" s="33">
        <v>45945</v>
      </c>
      <c r="B719" s="1"/>
      <c r="C719" s="1"/>
      <c r="D719" s="1"/>
      <c r="E719" s="38" t="s">
        <v>50</v>
      </c>
      <c r="F719" s="38">
        <v>110</v>
      </c>
      <c r="G719" s="38" t="s">
        <v>590</v>
      </c>
      <c r="H719" s="38">
        <v>165</v>
      </c>
      <c r="I719" s="38">
        <v>1713</v>
      </c>
      <c r="J719" s="11">
        <f t="shared" si="194"/>
        <v>1713</v>
      </c>
      <c r="K719" s="5">
        <f t="shared" si="195"/>
        <v>9438.0165289256183</v>
      </c>
      <c r="L719" s="39">
        <v>1</v>
      </c>
      <c r="M719" s="37">
        <f t="shared" si="190"/>
        <v>1</v>
      </c>
      <c r="N719" s="38"/>
      <c r="O719" s="46"/>
      <c r="P719" s="42"/>
      <c r="Q719" s="38"/>
      <c r="R719" s="38"/>
      <c r="S719" s="38"/>
      <c r="T719" s="38"/>
      <c r="U719" s="37">
        <f t="shared" si="191"/>
        <v>1</v>
      </c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43"/>
      <c r="AH719" s="44"/>
      <c r="AI719" s="45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  <c r="BS719" s="38"/>
      <c r="BT719" s="38"/>
      <c r="BU719" s="38"/>
      <c r="BV719" s="38"/>
      <c r="BW719" s="38"/>
      <c r="BX719" s="38"/>
      <c r="BY719" s="38"/>
      <c r="BZ719" s="38"/>
      <c r="CA719" s="38"/>
      <c r="CB719" s="38"/>
      <c r="CC719" s="38"/>
      <c r="CD719" s="38"/>
      <c r="CE719" s="38"/>
      <c r="CF719" s="38"/>
      <c r="CG719" s="38"/>
      <c r="CH719" s="38"/>
    </row>
    <row r="720" spans="1:86">
      <c r="A720" s="33">
        <v>45945</v>
      </c>
      <c r="B720" s="1"/>
      <c r="C720" s="1"/>
      <c r="D720" s="1"/>
      <c r="E720" s="38" t="s">
        <v>50</v>
      </c>
      <c r="F720" s="38">
        <v>110</v>
      </c>
      <c r="G720" s="38" t="s">
        <v>590</v>
      </c>
      <c r="H720" s="38">
        <v>185</v>
      </c>
      <c r="I720" s="38">
        <v>1925</v>
      </c>
      <c r="J720" s="11">
        <f t="shared" si="194"/>
        <v>1925</v>
      </c>
      <c r="K720" s="5">
        <f t="shared" si="195"/>
        <v>9459.4594594594582</v>
      </c>
      <c r="L720" s="39">
        <v>1</v>
      </c>
      <c r="M720" s="37">
        <f t="shared" si="190"/>
        <v>1</v>
      </c>
      <c r="N720" s="38"/>
      <c r="O720" s="46"/>
      <c r="P720" s="42"/>
      <c r="Q720" s="38"/>
      <c r="R720" s="38"/>
      <c r="S720" s="38"/>
      <c r="T720" s="38"/>
      <c r="U720" s="37">
        <f t="shared" si="191"/>
        <v>1</v>
      </c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43"/>
      <c r="AH720" s="44"/>
      <c r="AI720" s="45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  <c r="BS720" s="38"/>
      <c r="BT720" s="38"/>
      <c r="BU720" s="38"/>
      <c r="BV720" s="38"/>
      <c r="BW720" s="38"/>
      <c r="BX720" s="38"/>
      <c r="BY720" s="38"/>
      <c r="BZ720" s="38"/>
      <c r="CA720" s="38"/>
      <c r="CB720" s="38"/>
      <c r="CC720" s="38"/>
      <c r="CD720" s="38"/>
      <c r="CE720" s="38"/>
      <c r="CF720" s="38"/>
      <c r="CG720" s="38"/>
      <c r="CH720" s="38"/>
    </row>
    <row r="721" spans="1:86">
      <c r="A721" s="33">
        <v>45945</v>
      </c>
      <c r="B721" s="1"/>
      <c r="C721" s="1"/>
      <c r="D721" s="1"/>
      <c r="E721" s="38" t="s">
        <v>50</v>
      </c>
      <c r="F721" s="38">
        <v>110</v>
      </c>
      <c r="G721" s="38" t="s">
        <v>590</v>
      </c>
      <c r="H721" s="38">
        <v>185</v>
      </c>
      <c r="I721" s="38">
        <v>1934</v>
      </c>
      <c r="J721" s="11">
        <f t="shared" ref="J721" si="196">IFERROR(IF(AND(V721=3,U721&gt;0),I721,I721*U721),"Verify")</f>
        <v>1934</v>
      </c>
      <c r="K721" s="5">
        <f t="shared" ref="K721" si="197">+J721/(F721*H721*10^-5)</f>
        <v>9503.6855036855031</v>
      </c>
      <c r="L721" s="39">
        <v>1</v>
      </c>
      <c r="M721" s="37">
        <f t="shared" si="190"/>
        <v>1</v>
      </c>
      <c r="N721" s="38"/>
      <c r="O721" s="46"/>
      <c r="P721" s="42"/>
      <c r="Q721" s="38"/>
      <c r="R721" s="38"/>
      <c r="S721" s="38"/>
      <c r="T721" s="38"/>
      <c r="U721" s="37">
        <f t="shared" si="191"/>
        <v>1</v>
      </c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43"/>
      <c r="AH721" s="44"/>
      <c r="AI721" s="45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  <c r="BW721" s="38"/>
      <c r="BX721" s="38"/>
      <c r="BY721" s="38"/>
      <c r="BZ721" s="38"/>
      <c r="CA721" s="38"/>
      <c r="CB721" s="38"/>
      <c r="CC721" s="38"/>
      <c r="CD721" s="38"/>
      <c r="CE721" s="38"/>
      <c r="CF721" s="38"/>
      <c r="CG721" s="38"/>
      <c r="CH721" s="38"/>
    </row>
    <row r="722" spans="1:86">
      <c r="A722" s="33">
        <v>45945</v>
      </c>
      <c r="B722" s="1"/>
      <c r="C722" s="1"/>
      <c r="D722" s="1"/>
      <c r="E722" s="38" t="s">
        <v>50</v>
      </c>
      <c r="F722" s="38">
        <v>120</v>
      </c>
      <c r="G722" s="38" t="s">
        <v>590</v>
      </c>
      <c r="H722" s="38">
        <v>155</v>
      </c>
      <c r="I722" s="38">
        <v>1637</v>
      </c>
      <c r="J722" s="11">
        <f t="shared" ref="J722:J741" si="198">IFERROR(IF(AND(V722=3,U722&gt;0),I722,I722*U722),"Verify")</f>
        <v>1637</v>
      </c>
      <c r="K722" s="5">
        <f t="shared" ref="K722:K741" si="199">+J722/(F722*H722*10^-5)</f>
        <v>8801.0752688172033</v>
      </c>
      <c r="L722" s="39">
        <v>1</v>
      </c>
      <c r="M722" s="37">
        <f t="shared" si="190"/>
        <v>1</v>
      </c>
      <c r="N722" s="38"/>
      <c r="O722" s="46"/>
      <c r="P722" s="42"/>
      <c r="Q722" s="38"/>
      <c r="R722" s="38"/>
      <c r="S722" s="38"/>
      <c r="T722" s="38"/>
      <c r="U722" s="37">
        <f t="shared" si="191"/>
        <v>1</v>
      </c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43"/>
      <c r="AH722" s="44"/>
      <c r="AI722" s="45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  <c r="BW722" s="38"/>
      <c r="BX722" s="38"/>
      <c r="BY722" s="38"/>
      <c r="BZ722" s="38"/>
      <c r="CA722" s="38"/>
      <c r="CB722" s="38"/>
      <c r="CC722" s="38"/>
      <c r="CD722" s="38"/>
      <c r="CE722" s="38"/>
      <c r="CF722" s="38"/>
      <c r="CG722" s="38"/>
      <c r="CH722" s="38"/>
    </row>
    <row r="723" spans="1:86">
      <c r="A723" s="33">
        <v>45945</v>
      </c>
      <c r="B723" s="1"/>
      <c r="C723" s="1"/>
      <c r="D723" s="1"/>
      <c r="E723" s="38" t="s">
        <v>50</v>
      </c>
      <c r="F723" s="38">
        <v>120</v>
      </c>
      <c r="G723" s="38" t="s">
        <v>590</v>
      </c>
      <c r="H723" s="38">
        <v>155</v>
      </c>
      <c r="I723" s="38">
        <v>1640</v>
      </c>
      <c r="J723" s="11">
        <f t="shared" si="198"/>
        <v>1640</v>
      </c>
      <c r="K723" s="5">
        <f t="shared" si="199"/>
        <v>8817.2043010752677</v>
      </c>
      <c r="L723" s="39">
        <v>1</v>
      </c>
      <c r="M723" s="37">
        <f t="shared" si="190"/>
        <v>1</v>
      </c>
      <c r="N723" s="38"/>
      <c r="O723" s="46"/>
      <c r="P723" s="42"/>
      <c r="Q723" s="38"/>
      <c r="R723" s="38"/>
      <c r="S723" s="38"/>
      <c r="T723" s="38"/>
      <c r="U723" s="37">
        <f t="shared" si="191"/>
        <v>1</v>
      </c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43"/>
      <c r="AH723" s="44"/>
      <c r="AI723" s="45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  <c r="BW723" s="38"/>
      <c r="BX723" s="38"/>
      <c r="BY723" s="38"/>
      <c r="BZ723" s="38"/>
      <c r="CA723" s="38"/>
      <c r="CB723" s="38"/>
      <c r="CC723" s="38"/>
      <c r="CD723" s="38"/>
      <c r="CE723" s="38"/>
      <c r="CF723" s="38"/>
      <c r="CG723" s="38"/>
      <c r="CH723" s="38"/>
    </row>
    <row r="724" spans="1:86">
      <c r="A724" s="33">
        <v>45945</v>
      </c>
      <c r="B724" s="1"/>
      <c r="C724" s="1"/>
      <c r="D724" s="1"/>
      <c r="E724" s="38" t="s">
        <v>50</v>
      </c>
      <c r="F724" s="38">
        <v>120</v>
      </c>
      <c r="G724" s="38" t="s">
        <v>590</v>
      </c>
      <c r="H724" s="38">
        <v>155</v>
      </c>
      <c r="I724" s="38">
        <v>1635</v>
      </c>
      <c r="J724" s="11">
        <f t="shared" si="198"/>
        <v>1635</v>
      </c>
      <c r="K724" s="5">
        <f t="shared" si="199"/>
        <v>8790.3225806451592</v>
      </c>
      <c r="L724" s="39">
        <v>1</v>
      </c>
      <c r="M724" s="37">
        <f t="shared" si="190"/>
        <v>1</v>
      </c>
      <c r="N724" s="38"/>
      <c r="O724" s="46"/>
      <c r="P724" s="42"/>
      <c r="Q724" s="38"/>
      <c r="R724" s="38"/>
      <c r="S724" s="38"/>
      <c r="T724" s="38"/>
      <c r="U724" s="37">
        <f t="shared" si="191"/>
        <v>1</v>
      </c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43"/>
      <c r="AH724" s="44"/>
      <c r="AI724" s="45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  <c r="BS724" s="38"/>
      <c r="BT724" s="38"/>
      <c r="BU724" s="38"/>
      <c r="BV724" s="38"/>
      <c r="BW724" s="38"/>
      <c r="BX724" s="38"/>
      <c r="BY724" s="38"/>
      <c r="BZ724" s="38"/>
      <c r="CA724" s="38"/>
      <c r="CB724" s="38"/>
      <c r="CC724" s="38"/>
      <c r="CD724" s="38"/>
      <c r="CE724" s="38"/>
      <c r="CF724" s="38"/>
      <c r="CG724" s="38"/>
      <c r="CH724" s="38"/>
    </row>
    <row r="725" spans="1:86">
      <c r="A725" s="33">
        <v>45945</v>
      </c>
      <c r="B725" s="1"/>
      <c r="C725" s="1"/>
      <c r="D725" s="1"/>
      <c r="E725" s="38" t="s">
        <v>50</v>
      </c>
      <c r="F725" s="38">
        <v>120</v>
      </c>
      <c r="G725" s="38" t="s">
        <v>590</v>
      </c>
      <c r="H725" s="38">
        <v>155</v>
      </c>
      <c r="I725" s="38">
        <v>1622</v>
      </c>
      <c r="J725" s="11">
        <f t="shared" si="198"/>
        <v>1622</v>
      </c>
      <c r="K725" s="5">
        <f t="shared" si="199"/>
        <v>8720.4301075268813</v>
      </c>
      <c r="L725" s="39">
        <v>1</v>
      </c>
      <c r="M725" s="37">
        <f t="shared" si="190"/>
        <v>1</v>
      </c>
      <c r="N725" s="38"/>
      <c r="O725" s="46"/>
      <c r="P725" s="42"/>
      <c r="Q725" s="38"/>
      <c r="R725" s="38"/>
      <c r="S725" s="38"/>
      <c r="T725" s="38"/>
      <c r="U725" s="37">
        <f t="shared" si="191"/>
        <v>1</v>
      </c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43"/>
      <c r="AH725" s="44"/>
      <c r="AI725" s="45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  <c r="BS725" s="38"/>
      <c r="BT725" s="38"/>
      <c r="BU725" s="38"/>
      <c r="BV725" s="38"/>
      <c r="BW725" s="38"/>
      <c r="BX725" s="38"/>
      <c r="BY725" s="38"/>
      <c r="BZ725" s="38"/>
      <c r="CA725" s="38"/>
      <c r="CB725" s="38"/>
      <c r="CC725" s="38"/>
      <c r="CD725" s="38"/>
      <c r="CE725" s="38"/>
      <c r="CF725" s="38"/>
      <c r="CG725" s="38"/>
      <c r="CH725" s="38"/>
    </row>
    <row r="726" spans="1:86">
      <c r="A726" s="33">
        <v>45945</v>
      </c>
      <c r="B726" s="1"/>
      <c r="C726" s="1"/>
      <c r="D726" s="1"/>
      <c r="E726" s="38" t="s">
        <v>50</v>
      </c>
      <c r="F726" s="38">
        <v>120</v>
      </c>
      <c r="G726" s="38" t="s">
        <v>590</v>
      </c>
      <c r="H726" s="38">
        <v>155</v>
      </c>
      <c r="I726" s="38">
        <v>1620</v>
      </c>
      <c r="J726" s="11">
        <f t="shared" si="198"/>
        <v>1620</v>
      </c>
      <c r="K726" s="5">
        <f t="shared" si="199"/>
        <v>8709.6774193548372</v>
      </c>
      <c r="L726" s="39">
        <v>1</v>
      </c>
      <c r="M726" s="37">
        <f t="shared" si="190"/>
        <v>1</v>
      </c>
      <c r="N726" s="38"/>
      <c r="O726" s="46"/>
      <c r="P726" s="42"/>
      <c r="Q726" s="38"/>
      <c r="R726" s="38"/>
      <c r="S726" s="38"/>
      <c r="T726" s="38"/>
      <c r="U726" s="37">
        <f t="shared" si="191"/>
        <v>1</v>
      </c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43"/>
      <c r="AH726" s="44"/>
      <c r="AI726" s="45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  <c r="BS726" s="38"/>
      <c r="BT726" s="38"/>
      <c r="BU726" s="38"/>
      <c r="BV726" s="38"/>
      <c r="BW726" s="38"/>
      <c r="BX726" s="38"/>
      <c r="BY726" s="38"/>
      <c r="BZ726" s="38"/>
      <c r="CA726" s="38"/>
      <c r="CB726" s="38"/>
      <c r="CC726" s="38"/>
      <c r="CD726" s="38"/>
      <c r="CE726" s="38"/>
      <c r="CF726" s="38"/>
      <c r="CG726" s="38"/>
      <c r="CH726" s="38"/>
    </row>
    <row r="727" spans="1:86">
      <c r="A727" s="33">
        <v>45945</v>
      </c>
      <c r="B727" s="1" t="s">
        <v>819</v>
      </c>
      <c r="C727" s="1" t="s">
        <v>819</v>
      </c>
      <c r="D727" s="1"/>
      <c r="E727" s="38" t="s">
        <v>50</v>
      </c>
      <c r="F727" s="38">
        <v>120</v>
      </c>
      <c r="G727" s="38" t="s">
        <v>590</v>
      </c>
      <c r="H727" s="38">
        <v>160</v>
      </c>
      <c r="I727" s="38">
        <v>1728</v>
      </c>
      <c r="J727" s="11">
        <f t="shared" si="198"/>
        <v>3456</v>
      </c>
      <c r="K727" s="5">
        <f t="shared" si="199"/>
        <v>18000</v>
      </c>
      <c r="L727" s="39">
        <v>2</v>
      </c>
      <c r="M727" s="37">
        <f t="shared" si="190"/>
        <v>2</v>
      </c>
      <c r="N727" s="38"/>
      <c r="O727" s="46"/>
      <c r="P727" s="42"/>
      <c r="Q727" s="38"/>
      <c r="R727" s="38"/>
      <c r="S727" s="38"/>
      <c r="T727" s="38"/>
      <c r="U727" s="37">
        <f t="shared" si="191"/>
        <v>2</v>
      </c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43"/>
      <c r="AH727" s="44"/>
      <c r="AI727" s="45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  <c r="BS727" s="38"/>
      <c r="BT727" s="38"/>
      <c r="BU727" s="38"/>
      <c r="BV727" s="38"/>
      <c r="BW727" s="38"/>
      <c r="BX727" s="38"/>
      <c r="BY727" s="38"/>
      <c r="BZ727" s="38"/>
      <c r="CA727" s="38"/>
      <c r="CB727" s="38"/>
      <c r="CC727" s="38"/>
      <c r="CD727" s="38"/>
      <c r="CE727" s="38"/>
      <c r="CF727" s="38"/>
      <c r="CG727" s="38"/>
      <c r="CH727" s="38"/>
    </row>
    <row r="728" spans="1:86">
      <c r="A728" s="33">
        <v>45945</v>
      </c>
      <c r="B728" s="1" t="s">
        <v>819</v>
      </c>
      <c r="C728" s="1" t="s">
        <v>819</v>
      </c>
      <c r="D728" s="1"/>
      <c r="E728" s="38" t="s">
        <v>50</v>
      </c>
      <c r="F728" s="38">
        <v>120</v>
      </c>
      <c r="G728" s="38" t="s">
        <v>590</v>
      </c>
      <c r="H728" s="38">
        <v>160</v>
      </c>
      <c r="I728" s="38">
        <v>1733</v>
      </c>
      <c r="J728" s="11">
        <f t="shared" si="198"/>
        <v>1733</v>
      </c>
      <c r="K728" s="5">
        <f t="shared" si="199"/>
        <v>9026.0416666666661</v>
      </c>
      <c r="L728" s="39">
        <v>1</v>
      </c>
      <c r="M728" s="37">
        <f t="shared" si="190"/>
        <v>1</v>
      </c>
      <c r="N728" s="38"/>
      <c r="O728" s="46"/>
      <c r="P728" s="42"/>
      <c r="Q728" s="38"/>
      <c r="R728" s="38"/>
      <c r="S728" s="38"/>
      <c r="T728" s="38"/>
      <c r="U728" s="37">
        <f t="shared" si="191"/>
        <v>1</v>
      </c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43"/>
      <c r="AH728" s="44"/>
      <c r="AI728" s="45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  <c r="BW728" s="38"/>
      <c r="BX728" s="38"/>
      <c r="BY728" s="38"/>
      <c r="BZ728" s="38"/>
      <c r="CA728" s="38"/>
      <c r="CB728" s="38"/>
      <c r="CC728" s="38"/>
      <c r="CD728" s="38"/>
      <c r="CE728" s="38"/>
      <c r="CF728" s="38"/>
      <c r="CG728" s="38"/>
      <c r="CH728" s="38"/>
    </row>
    <row r="729" spans="1:86">
      <c r="A729" s="33">
        <v>45945</v>
      </c>
      <c r="B729" s="1" t="s">
        <v>819</v>
      </c>
      <c r="C729" s="1" t="s">
        <v>819</v>
      </c>
      <c r="D729" s="1"/>
      <c r="E729" s="38" t="s">
        <v>50</v>
      </c>
      <c r="F729" s="38">
        <v>120</v>
      </c>
      <c r="G729" s="38" t="s">
        <v>590</v>
      </c>
      <c r="H729" s="38">
        <v>160</v>
      </c>
      <c r="I729" s="38">
        <v>1708</v>
      </c>
      <c r="J729" s="11">
        <f t="shared" si="198"/>
        <v>1708</v>
      </c>
      <c r="K729" s="5">
        <f t="shared" si="199"/>
        <v>8895.8333333333339</v>
      </c>
      <c r="L729" s="39">
        <v>1</v>
      </c>
      <c r="M729" s="37">
        <f t="shared" si="190"/>
        <v>1</v>
      </c>
      <c r="N729" s="38"/>
      <c r="O729" s="46"/>
      <c r="P729" s="42"/>
      <c r="Q729" s="38"/>
      <c r="R729" s="38"/>
      <c r="S729" s="38"/>
      <c r="T729" s="38"/>
      <c r="U729" s="37">
        <f t="shared" si="191"/>
        <v>1</v>
      </c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43"/>
      <c r="AH729" s="44"/>
      <c r="AI729" s="45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  <c r="BS729" s="38"/>
      <c r="BT729" s="38"/>
      <c r="BU729" s="38"/>
      <c r="BV729" s="38"/>
      <c r="BW729" s="38"/>
      <c r="BX729" s="38"/>
      <c r="BY729" s="38"/>
      <c r="BZ729" s="38"/>
      <c r="CA729" s="38"/>
      <c r="CB729" s="38"/>
      <c r="CC729" s="38"/>
      <c r="CD729" s="38"/>
      <c r="CE729" s="38"/>
      <c r="CF729" s="38"/>
      <c r="CG729" s="38"/>
      <c r="CH729" s="38"/>
    </row>
    <row r="730" spans="1:86">
      <c r="A730" s="33">
        <v>45945</v>
      </c>
      <c r="B730" s="1" t="s">
        <v>819</v>
      </c>
      <c r="C730" s="1" t="s">
        <v>819</v>
      </c>
      <c r="D730" s="1"/>
      <c r="E730" s="38" t="s">
        <v>50</v>
      </c>
      <c r="F730" s="38">
        <v>120</v>
      </c>
      <c r="G730" s="38" t="s">
        <v>590</v>
      </c>
      <c r="H730" s="38">
        <v>160</v>
      </c>
      <c r="I730" s="38">
        <v>1723</v>
      </c>
      <c r="J730" s="11">
        <f t="shared" si="198"/>
        <v>1723</v>
      </c>
      <c r="K730" s="5">
        <f t="shared" si="199"/>
        <v>8973.9583333333339</v>
      </c>
      <c r="L730" s="39">
        <v>1</v>
      </c>
      <c r="M730" s="37">
        <f t="shared" si="190"/>
        <v>1</v>
      </c>
      <c r="N730" s="38"/>
      <c r="O730" s="46"/>
      <c r="P730" s="42"/>
      <c r="Q730" s="38"/>
      <c r="R730" s="38"/>
      <c r="S730" s="38"/>
      <c r="T730" s="38"/>
      <c r="U730" s="37">
        <f t="shared" si="191"/>
        <v>1</v>
      </c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43"/>
      <c r="AH730" s="44"/>
      <c r="AI730" s="45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  <c r="BW730" s="38"/>
      <c r="BX730" s="38"/>
      <c r="BY730" s="38"/>
      <c r="BZ730" s="38"/>
      <c r="CA730" s="38"/>
      <c r="CB730" s="38"/>
      <c r="CC730" s="38"/>
      <c r="CD730" s="38"/>
      <c r="CE730" s="38"/>
      <c r="CF730" s="38"/>
      <c r="CG730" s="38"/>
      <c r="CH730" s="38"/>
    </row>
    <row r="731" spans="1:86">
      <c r="A731" s="33">
        <v>45945</v>
      </c>
      <c r="B731" s="1" t="s">
        <v>823</v>
      </c>
      <c r="C731" s="1" t="s">
        <v>823</v>
      </c>
      <c r="D731" s="1"/>
      <c r="E731" s="38" t="s">
        <v>50</v>
      </c>
      <c r="F731" s="38">
        <v>120</v>
      </c>
      <c r="G731" s="38" t="s">
        <v>590</v>
      </c>
      <c r="H731" s="38">
        <v>165</v>
      </c>
      <c r="I731" s="38">
        <v>1788</v>
      </c>
      <c r="J731" s="11">
        <f t="shared" si="198"/>
        <v>1788</v>
      </c>
      <c r="K731" s="5">
        <f t="shared" si="199"/>
        <v>9030.30303030303</v>
      </c>
      <c r="L731" s="39">
        <v>1</v>
      </c>
      <c r="M731" s="37">
        <f t="shared" si="190"/>
        <v>1</v>
      </c>
      <c r="N731" s="38"/>
      <c r="O731" s="46"/>
      <c r="P731" s="42"/>
      <c r="Q731" s="38"/>
      <c r="R731" s="38"/>
      <c r="S731" s="38"/>
      <c r="T731" s="38"/>
      <c r="U731" s="37">
        <f t="shared" si="191"/>
        <v>1</v>
      </c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43"/>
      <c r="AH731" s="44"/>
      <c r="AI731" s="45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  <c r="BW731" s="38"/>
      <c r="BX731" s="38"/>
      <c r="BY731" s="38"/>
      <c r="BZ731" s="38"/>
      <c r="CA731" s="38"/>
      <c r="CB731" s="38"/>
      <c r="CC731" s="38"/>
      <c r="CD731" s="38"/>
      <c r="CE731" s="38"/>
      <c r="CF731" s="38"/>
      <c r="CG731" s="38"/>
      <c r="CH731" s="38"/>
    </row>
    <row r="732" spans="1:86">
      <c r="A732" s="33">
        <v>45945</v>
      </c>
      <c r="B732" s="1" t="s">
        <v>823</v>
      </c>
      <c r="C732" s="1" t="s">
        <v>823</v>
      </c>
      <c r="D732" s="1"/>
      <c r="E732" s="38" t="s">
        <v>50</v>
      </c>
      <c r="F732" s="38">
        <v>120</v>
      </c>
      <c r="G732" s="38" t="s">
        <v>590</v>
      </c>
      <c r="H732" s="38">
        <v>165</v>
      </c>
      <c r="I732" s="38">
        <v>1789</v>
      </c>
      <c r="J732" s="11">
        <f t="shared" si="198"/>
        <v>1789</v>
      </c>
      <c r="K732" s="5">
        <f t="shared" si="199"/>
        <v>9035.3535353535353</v>
      </c>
      <c r="L732" s="39">
        <v>1</v>
      </c>
      <c r="M732" s="37">
        <f t="shared" si="190"/>
        <v>1</v>
      </c>
      <c r="N732" s="38"/>
      <c r="O732" s="46"/>
      <c r="P732" s="42"/>
      <c r="Q732" s="38"/>
      <c r="R732" s="38"/>
      <c r="S732" s="38"/>
      <c r="T732" s="38"/>
      <c r="U732" s="37">
        <f t="shared" si="191"/>
        <v>1</v>
      </c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43"/>
      <c r="AH732" s="44"/>
      <c r="AI732" s="45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  <c r="BW732" s="38"/>
      <c r="BX732" s="38"/>
      <c r="BY732" s="38"/>
      <c r="BZ732" s="38"/>
      <c r="CA732" s="38"/>
      <c r="CB732" s="38"/>
      <c r="CC732" s="38"/>
      <c r="CD732" s="38"/>
      <c r="CE732" s="38"/>
      <c r="CF732" s="38"/>
      <c r="CG732" s="38"/>
      <c r="CH732" s="38"/>
    </row>
    <row r="733" spans="1:86">
      <c r="A733" s="33">
        <v>45945</v>
      </c>
      <c r="B733" s="1" t="s">
        <v>823</v>
      </c>
      <c r="C733" s="1" t="s">
        <v>823</v>
      </c>
      <c r="D733" s="1"/>
      <c r="E733" s="38" t="s">
        <v>50</v>
      </c>
      <c r="F733" s="38">
        <v>120</v>
      </c>
      <c r="G733" s="38" t="s">
        <v>590</v>
      </c>
      <c r="H733" s="38">
        <v>165</v>
      </c>
      <c r="I733" s="38">
        <v>1796</v>
      </c>
      <c r="J733" s="11">
        <f t="shared" si="198"/>
        <v>1796</v>
      </c>
      <c r="K733" s="5">
        <f t="shared" si="199"/>
        <v>9070.7070707070707</v>
      </c>
      <c r="L733" s="39">
        <v>1</v>
      </c>
      <c r="M733" s="37">
        <f t="shared" si="190"/>
        <v>1</v>
      </c>
      <c r="N733" s="38"/>
      <c r="O733" s="46"/>
      <c r="P733" s="42"/>
      <c r="Q733" s="38"/>
      <c r="R733" s="38"/>
      <c r="S733" s="38"/>
      <c r="T733" s="38"/>
      <c r="U733" s="37">
        <f t="shared" si="191"/>
        <v>1</v>
      </c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43"/>
      <c r="AH733" s="44"/>
      <c r="AI733" s="45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  <c r="CH733" s="38"/>
    </row>
    <row r="734" spans="1:86">
      <c r="A734" s="33">
        <v>45945</v>
      </c>
      <c r="B734" s="1" t="s">
        <v>823</v>
      </c>
      <c r="C734" s="1" t="s">
        <v>823</v>
      </c>
      <c r="D734" s="1"/>
      <c r="E734" s="38" t="s">
        <v>50</v>
      </c>
      <c r="F734" s="38">
        <v>120</v>
      </c>
      <c r="G734" s="38" t="s">
        <v>590</v>
      </c>
      <c r="H734" s="38">
        <v>165</v>
      </c>
      <c r="I734" s="38">
        <v>1799</v>
      </c>
      <c r="J734" s="11">
        <f t="shared" si="198"/>
        <v>1799</v>
      </c>
      <c r="K734" s="5">
        <f t="shared" si="199"/>
        <v>9085.8585858585848</v>
      </c>
      <c r="L734" s="39">
        <v>1</v>
      </c>
      <c r="M734" s="37">
        <f t="shared" si="190"/>
        <v>1</v>
      </c>
      <c r="N734" s="38"/>
      <c r="O734" s="46"/>
      <c r="P734" s="42"/>
      <c r="Q734" s="38"/>
      <c r="R734" s="38"/>
      <c r="S734" s="38"/>
      <c r="T734" s="38"/>
      <c r="U734" s="37">
        <f t="shared" si="191"/>
        <v>1</v>
      </c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43"/>
      <c r="AH734" s="44"/>
      <c r="AI734" s="45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  <c r="CH734" s="38"/>
    </row>
    <row r="735" spans="1:86">
      <c r="A735" s="33">
        <v>45945</v>
      </c>
      <c r="B735" s="1" t="s">
        <v>823</v>
      </c>
      <c r="C735" s="1" t="s">
        <v>823</v>
      </c>
      <c r="D735" s="1"/>
      <c r="E735" s="38" t="s">
        <v>50</v>
      </c>
      <c r="F735" s="38">
        <v>120</v>
      </c>
      <c r="G735" s="38" t="s">
        <v>590</v>
      </c>
      <c r="H735" s="38">
        <v>165</v>
      </c>
      <c r="I735" s="38">
        <v>1794</v>
      </c>
      <c r="J735" s="11">
        <f t="shared" si="198"/>
        <v>1794</v>
      </c>
      <c r="K735" s="5">
        <f t="shared" si="199"/>
        <v>9060.6060606060601</v>
      </c>
      <c r="L735" s="39">
        <v>1</v>
      </c>
      <c r="M735" s="37">
        <f t="shared" si="190"/>
        <v>1</v>
      </c>
      <c r="N735" s="38"/>
      <c r="O735" s="46"/>
      <c r="P735" s="42"/>
      <c r="Q735" s="38"/>
      <c r="R735" s="38"/>
      <c r="S735" s="38"/>
      <c r="T735" s="38"/>
      <c r="U735" s="37">
        <f t="shared" si="191"/>
        <v>1</v>
      </c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43"/>
      <c r="AH735" s="44"/>
      <c r="AI735" s="45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  <c r="BS735" s="38"/>
      <c r="BT735" s="38"/>
      <c r="BU735" s="38"/>
      <c r="BV735" s="38"/>
      <c r="BW735" s="38"/>
      <c r="BX735" s="38"/>
      <c r="BY735" s="38"/>
      <c r="BZ735" s="38"/>
      <c r="CA735" s="38"/>
      <c r="CB735" s="38"/>
      <c r="CC735" s="38"/>
      <c r="CD735" s="38"/>
      <c r="CE735" s="38"/>
      <c r="CF735" s="38"/>
      <c r="CG735" s="38"/>
      <c r="CH735" s="38"/>
    </row>
    <row r="736" spans="1:86">
      <c r="A736" s="33">
        <v>45945</v>
      </c>
      <c r="B736" s="1"/>
      <c r="C736" s="1"/>
      <c r="D736" s="1"/>
      <c r="E736" s="38" t="s">
        <v>50</v>
      </c>
      <c r="F736" s="38">
        <v>120</v>
      </c>
      <c r="G736" s="38" t="s">
        <v>590</v>
      </c>
      <c r="H736" s="38">
        <v>165.5</v>
      </c>
      <c r="I736" s="38">
        <v>1655</v>
      </c>
      <c r="J736" s="11">
        <f t="shared" si="198"/>
        <v>1655</v>
      </c>
      <c r="K736" s="5">
        <f t="shared" si="199"/>
        <v>8333.3333333333321</v>
      </c>
      <c r="L736" s="39">
        <v>1</v>
      </c>
      <c r="M736" s="37">
        <f t="shared" si="190"/>
        <v>1</v>
      </c>
      <c r="N736" s="38"/>
      <c r="O736" s="46"/>
      <c r="P736" s="42"/>
      <c r="Q736" s="38"/>
      <c r="R736" s="38"/>
      <c r="S736" s="38"/>
      <c r="T736" s="38"/>
      <c r="U736" s="37">
        <f t="shared" si="191"/>
        <v>1</v>
      </c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43"/>
      <c r="AH736" s="44"/>
      <c r="AI736" s="45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  <c r="BS736" s="38"/>
      <c r="BT736" s="38"/>
      <c r="BU736" s="38"/>
      <c r="BV736" s="38"/>
      <c r="BW736" s="38"/>
      <c r="BX736" s="38"/>
      <c r="BY736" s="38"/>
      <c r="BZ736" s="38"/>
      <c r="CA736" s="38"/>
      <c r="CB736" s="38"/>
      <c r="CC736" s="38"/>
      <c r="CD736" s="38"/>
      <c r="CE736" s="38"/>
      <c r="CF736" s="38"/>
      <c r="CG736" s="38"/>
      <c r="CH736" s="38"/>
    </row>
    <row r="737" spans="1:86">
      <c r="A737" s="33">
        <v>45945</v>
      </c>
      <c r="B737" s="1"/>
      <c r="C737" s="1"/>
      <c r="D737" s="1"/>
      <c r="E737" s="38" t="s">
        <v>50</v>
      </c>
      <c r="F737" s="38">
        <v>120</v>
      </c>
      <c r="G737" s="38" t="s">
        <v>590</v>
      </c>
      <c r="H737" s="38">
        <v>165.5</v>
      </c>
      <c r="I737" s="38">
        <v>1661</v>
      </c>
      <c r="J737" s="11">
        <f t="shared" si="198"/>
        <v>1661</v>
      </c>
      <c r="K737" s="5">
        <f t="shared" si="199"/>
        <v>8363.5448136958694</v>
      </c>
      <c r="L737" s="39">
        <v>1</v>
      </c>
      <c r="M737" s="37">
        <f t="shared" si="190"/>
        <v>1</v>
      </c>
      <c r="N737" s="38"/>
      <c r="O737" s="46"/>
      <c r="P737" s="42"/>
      <c r="Q737" s="38"/>
      <c r="R737" s="38"/>
      <c r="S737" s="38"/>
      <c r="T737" s="38"/>
      <c r="U737" s="37">
        <f t="shared" si="191"/>
        <v>1</v>
      </c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43"/>
      <c r="AH737" s="44"/>
      <c r="AI737" s="45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  <c r="BS737" s="38"/>
      <c r="BT737" s="38"/>
      <c r="BU737" s="38"/>
      <c r="BV737" s="38"/>
      <c r="BW737" s="38"/>
      <c r="BX737" s="38"/>
      <c r="BY737" s="38"/>
      <c r="BZ737" s="38"/>
      <c r="CA737" s="38"/>
      <c r="CB737" s="38"/>
      <c r="CC737" s="38"/>
      <c r="CD737" s="38"/>
      <c r="CE737" s="38"/>
      <c r="CF737" s="38"/>
      <c r="CG737" s="38"/>
      <c r="CH737" s="38"/>
    </row>
    <row r="738" spans="1:86">
      <c r="A738" s="33">
        <v>45945</v>
      </c>
      <c r="B738" s="1"/>
      <c r="C738" s="1"/>
      <c r="D738" s="1"/>
      <c r="E738" s="38" t="s">
        <v>50</v>
      </c>
      <c r="F738" s="38">
        <v>120</v>
      </c>
      <c r="G738" s="38" t="s">
        <v>590</v>
      </c>
      <c r="H738" s="38">
        <v>165.5</v>
      </c>
      <c r="I738" s="38">
        <v>1649</v>
      </c>
      <c r="J738" s="11">
        <f t="shared" si="198"/>
        <v>1649</v>
      </c>
      <c r="K738" s="5">
        <f t="shared" si="199"/>
        <v>8303.1218529707949</v>
      </c>
      <c r="L738" s="39">
        <v>1</v>
      </c>
      <c r="M738" s="37">
        <f t="shared" si="190"/>
        <v>1</v>
      </c>
      <c r="N738" s="38"/>
      <c r="O738" s="46"/>
      <c r="P738" s="42"/>
      <c r="Q738" s="38"/>
      <c r="R738" s="38"/>
      <c r="S738" s="38"/>
      <c r="T738" s="38"/>
      <c r="U738" s="37">
        <f t="shared" si="191"/>
        <v>1</v>
      </c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43"/>
      <c r="AH738" s="44"/>
      <c r="AI738" s="45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  <c r="BW738" s="38"/>
      <c r="BX738" s="38"/>
      <c r="BY738" s="38"/>
      <c r="BZ738" s="38"/>
      <c r="CA738" s="38"/>
      <c r="CB738" s="38"/>
      <c r="CC738" s="38"/>
      <c r="CD738" s="38"/>
      <c r="CE738" s="38"/>
      <c r="CF738" s="38"/>
      <c r="CG738" s="38"/>
      <c r="CH738" s="38"/>
    </row>
    <row r="739" spans="1:86">
      <c r="A739" s="33">
        <v>45945</v>
      </c>
      <c r="B739" s="1"/>
      <c r="C739" s="1"/>
      <c r="D739" s="1"/>
      <c r="E739" s="38" t="s">
        <v>50</v>
      </c>
      <c r="F739" s="38">
        <v>120</v>
      </c>
      <c r="G739" s="38" t="s">
        <v>590</v>
      </c>
      <c r="H739" s="38">
        <v>165.5</v>
      </c>
      <c r="I739" s="38">
        <v>1636</v>
      </c>
      <c r="J739" s="11">
        <f t="shared" si="198"/>
        <v>1636</v>
      </c>
      <c r="K739" s="5">
        <f t="shared" si="199"/>
        <v>8237.663645518629</v>
      </c>
      <c r="L739" s="39">
        <v>1</v>
      </c>
      <c r="M739" s="37">
        <f t="shared" si="190"/>
        <v>1</v>
      </c>
      <c r="N739" s="38"/>
      <c r="O739" s="46"/>
      <c r="P739" s="42"/>
      <c r="Q739" s="38"/>
      <c r="R739" s="38"/>
      <c r="S739" s="38"/>
      <c r="T739" s="38"/>
      <c r="U739" s="37">
        <f t="shared" si="191"/>
        <v>1</v>
      </c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43"/>
      <c r="AH739" s="44"/>
      <c r="AI739" s="45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  <c r="BS739" s="38"/>
      <c r="BT739" s="38"/>
      <c r="BU739" s="38"/>
      <c r="BV739" s="38"/>
      <c r="BW739" s="38"/>
      <c r="BX739" s="38"/>
      <c r="BY739" s="38"/>
      <c r="BZ739" s="38"/>
      <c r="CA739" s="38"/>
      <c r="CB739" s="38"/>
      <c r="CC739" s="38"/>
      <c r="CD739" s="38"/>
      <c r="CE739" s="38"/>
      <c r="CF739" s="38"/>
      <c r="CG739" s="38"/>
      <c r="CH739" s="38"/>
    </row>
    <row r="740" spans="1:86">
      <c r="A740" s="33">
        <v>45945</v>
      </c>
      <c r="B740" s="1" t="s">
        <v>828</v>
      </c>
      <c r="C740" s="1" t="s">
        <v>828</v>
      </c>
      <c r="D740" s="1"/>
      <c r="E740" s="38" t="s">
        <v>41</v>
      </c>
      <c r="F740" s="38">
        <v>120</v>
      </c>
      <c r="G740" s="38" t="s">
        <v>590</v>
      </c>
      <c r="H740" s="38">
        <v>90</v>
      </c>
      <c r="I740" s="38">
        <v>798</v>
      </c>
      <c r="J740" s="11">
        <f t="shared" si="198"/>
        <v>798</v>
      </c>
      <c r="K740" s="5">
        <f t="shared" si="199"/>
        <v>7388.8888888888878</v>
      </c>
      <c r="L740" s="39">
        <v>1</v>
      </c>
      <c r="M740" s="37">
        <f t="shared" si="190"/>
        <v>1</v>
      </c>
      <c r="N740" s="38"/>
      <c r="O740" s="46"/>
      <c r="P740" s="42"/>
      <c r="Q740" s="38"/>
      <c r="R740" s="38"/>
      <c r="S740" s="38"/>
      <c r="T740" s="38"/>
      <c r="U740" s="37">
        <f t="shared" si="191"/>
        <v>1</v>
      </c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43"/>
      <c r="AH740" s="44"/>
      <c r="AI740" s="45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  <c r="BS740" s="38"/>
      <c r="BT740" s="38"/>
      <c r="BU740" s="38"/>
      <c r="BV740" s="38"/>
      <c r="BW740" s="38"/>
      <c r="BX740" s="38"/>
      <c r="BY740" s="38"/>
      <c r="BZ740" s="38"/>
      <c r="CA740" s="38"/>
      <c r="CB740" s="38"/>
      <c r="CC740" s="38"/>
      <c r="CD740" s="38"/>
      <c r="CE740" s="38"/>
      <c r="CF740" s="38"/>
      <c r="CG740" s="38"/>
      <c r="CH740" s="38"/>
    </row>
    <row r="741" spans="1:86">
      <c r="A741" s="33">
        <v>45945</v>
      </c>
      <c r="B741" s="1" t="s">
        <v>829</v>
      </c>
      <c r="C741" s="1" t="s">
        <v>829</v>
      </c>
      <c r="D741" s="1"/>
      <c r="E741" s="38" t="s">
        <v>41</v>
      </c>
      <c r="F741" s="38">
        <v>120</v>
      </c>
      <c r="G741" s="38" t="s">
        <v>590</v>
      </c>
      <c r="H741" s="38">
        <v>100</v>
      </c>
      <c r="I741" s="38">
        <v>905</v>
      </c>
      <c r="J741" s="11">
        <f t="shared" si="198"/>
        <v>905</v>
      </c>
      <c r="K741" s="5">
        <f t="shared" si="199"/>
        <v>7541.6666666666661</v>
      </c>
      <c r="L741" s="39">
        <v>1</v>
      </c>
      <c r="M741" s="37">
        <f t="shared" si="190"/>
        <v>1</v>
      </c>
      <c r="N741" s="38"/>
      <c r="O741" s="46"/>
      <c r="P741" s="42"/>
      <c r="Q741" s="38"/>
      <c r="R741" s="38"/>
      <c r="S741" s="38"/>
      <c r="T741" s="38"/>
      <c r="U741" s="37">
        <f t="shared" si="191"/>
        <v>1</v>
      </c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43"/>
      <c r="AH741" s="44"/>
      <c r="AI741" s="45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  <c r="BS741" s="38"/>
      <c r="BT741" s="38"/>
      <c r="BU741" s="38"/>
      <c r="BV741" s="38"/>
      <c r="BW741" s="38"/>
      <c r="BX741" s="38"/>
      <c r="BY741" s="38"/>
      <c r="BZ741" s="38"/>
      <c r="CA741" s="38"/>
      <c r="CB741" s="38"/>
      <c r="CC741" s="38"/>
      <c r="CD741" s="38"/>
      <c r="CE741" s="38"/>
      <c r="CF741" s="38"/>
      <c r="CG741" s="38"/>
      <c r="CH741" s="38"/>
    </row>
  </sheetData>
  <autoFilter ref="A3:CH741" xr:uid="{BB70D747-0F59-40E7-AA6D-482CDB192066}"/>
  <mergeCells count="50">
    <mergeCell ref="CG1:CH1"/>
    <mergeCell ref="M1:M2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J1:AK1"/>
    <mergeCell ref="AL1:AN1"/>
    <mergeCell ref="AO1:AP1"/>
    <mergeCell ref="AQ1:AR1"/>
    <mergeCell ref="AS1:AT1"/>
    <mergeCell ref="AU1:AV1"/>
    <mergeCell ref="AH1:AI1"/>
    <mergeCell ref="R1:R2"/>
    <mergeCell ref="U1:U2"/>
    <mergeCell ref="V1:V2"/>
    <mergeCell ref="W1:W2"/>
    <mergeCell ref="X1:Y1"/>
    <mergeCell ref="Z1:AA1"/>
    <mergeCell ref="AB1:AC1"/>
    <mergeCell ref="AD1:AE1"/>
    <mergeCell ref="AF1:AG1"/>
    <mergeCell ref="Q1:Q2"/>
    <mergeCell ref="A1:A2"/>
    <mergeCell ref="B1:B2"/>
    <mergeCell ref="E1:E2"/>
    <mergeCell ref="F1:F2"/>
    <mergeCell ref="G1:G2"/>
    <mergeCell ref="H1:H2"/>
    <mergeCell ref="I1:I2"/>
    <mergeCell ref="J1:J2"/>
    <mergeCell ref="K1:K2"/>
    <mergeCell ref="L1:L2"/>
    <mergeCell ref="N1:P1"/>
    <mergeCell ref="D1:D2"/>
    <mergeCell ref="C1:C2"/>
  </mergeCells>
  <phoneticPr fontId="12" type="noConversion"/>
  <conditionalFormatting sqref="C4">
    <cfRule type="duplicateValues" dxfId="2" priority="1"/>
    <cfRule type="duplicateValues" dxfId="1" priority="2"/>
    <cfRule type="duplicateValues" dxfId="0" priority="3"/>
  </conditionalFormatting>
  <hyperlinks>
    <hyperlink ref="B194" r:id="rId1" display="javascript:;" xr:uid="{94E28D85-68B6-456D-B5B5-63EAB024F64C}"/>
    <hyperlink ref="B224" r:id="rId2" display="javascript:;" xr:uid="{FE9E8F86-CE8D-4347-A8D0-3BDF7D7EB6ED}"/>
    <hyperlink ref="C224" r:id="rId3" display="javascript:;" xr:uid="{51BB34C7-C07D-4AE7-909E-72C0FC434CD8}"/>
    <hyperlink ref="C194" r:id="rId4" display="javascript:;" xr:uid="{6E18619E-7A0E-44DB-8BB3-665990334827}"/>
  </hyperlinks>
  <pageMargins left="0.17" right="0.17" top="0.74803149606299213" bottom="0.74803149606299213" header="0.31496062992125984" footer="0.31496062992125984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ĐẠI ĐĂNG</vt:lpstr>
      <vt:lpstr>VISIP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Hùng - Executive Office - TPFV by NQH</dc:creator>
  <cp:keywords/>
  <dc:description/>
  <cp:lastModifiedBy>Lượng - Kế toán - TPFVN by NQH</cp:lastModifiedBy>
  <cp:revision/>
  <dcterms:created xsi:type="dcterms:W3CDTF">2024-11-01T04:20:24Z</dcterms:created>
  <dcterms:modified xsi:type="dcterms:W3CDTF">2025-10-16T11:37:31Z</dcterms:modified>
  <cp:category/>
  <cp:contentStatus/>
</cp:coreProperties>
</file>